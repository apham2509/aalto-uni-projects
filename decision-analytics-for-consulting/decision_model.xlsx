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muelviitanen/Downloads/"/>
    </mc:Choice>
  </mc:AlternateContent>
  <xr:revisionPtr revIDLastSave="0" documentId="8_{7019DFE0-D670-9345-9FC0-370F716E80C2}" xr6:coauthVersionLast="47" xr6:coauthVersionMax="47" xr10:uidLastSave="{00000000-0000-0000-0000-000000000000}"/>
  <bookViews>
    <workbookView xWindow="0" yWindow="740" windowWidth="29400" windowHeight="17200" xr2:uid="{BEA5DF2A-EAFF-4496-B91B-F9B4E2F5DA8B}"/>
  </bookViews>
  <sheets>
    <sheet name="Sheet2" sheetId="2" r:id="rId1"/>
    <sheet name="visualization" sheetId="3" state="hidden" r:id="rId2"/>
  </sheets>
  <definedNames>
    <definedName name="solver_adj" localSheetId="0" hidden="1">Sheet2!$C$5:$C$18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Sheet2!$C$34</definedName>
    <definedName name="solver_lhs2" localSheetId="0" hidden="1">Sheet2!$C$35</definedName>
    <definedName name="solver_lhs3" localSheetId="0" hidden="1">Sheet2!$C$36</definedName>
    <definedName name="solver_lhs4" localSheetId="0" hidden="1">Sheet2!$C$38</definedName>
    <definedName name="solver_lhs5" localSheetId="0" hidden="1">Sheet2!$C$39</definedName>
    <definedName name="solver_lhs6" localSheetId="0" hidden="1">Sheet2!$C$40</definedName>
    <definedName name="solver_lhs7" localSheetId="0" hidden="1">Sheet2!$C$41</definedName>
    <definedName name="solver_lhs8" localSheetId="0" hidden="1">Sheet2!$C$42</definedName>
    <definedName name="solver_lhs9" localSheetId="0" hidden="1">Sheet2!$C$5:$C$18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9</definedName>
    <definedName name="solver_opt" localSheetId="0" hidden="1">Sheet2!$C$19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2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5</definedName>
    <definedName name="solver_rhs1" localSheetId="0" hidden="1">Sheet2!$E$34</definedName>
    <definedName name="solver_rhs2" localSheetId="0" hidden="1">Sheet2!$E$35</definedName>
    <definedName name="solver_rhs3" localSheetId="0" hidden="1">Sheet2!$E$36</definedName>
    <definedName name="solver_rhs4" localSheetId="0" hidden="1">Sheet2!$E$38</definedName>
    <definedName name="solver_rhs5" localSheetId="0" hidden="1">Sheet2!$E$39</definedName>
    <definedName name="solver_rhs6" localSheetId="0" hidden="1">Sheet2!$E$40</definedName>
    <definedName name="solver_rhs7" localSheetId="0" hidden="1">Sheet2!$E$41</definedName>
    <definedName name="solver_rhs8" localSheetId="0" hidden="1">Sheet2!$E$42</definedName>
    <definedName name="solver_rhs9" localSheetId="0" hidden="1">"binary"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" l="1"/>
  <c r="E40" i="2"/>
  <c r="E39" i="2"/>
  <c r="Y8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C42" i="3"/>
  <c r="C41" i="3"/>
  <c r="C40" i="3"/>
  <c r="C39" i="3"/>
  <c r="E38" i="3"/>
  <c r="C38" i="3"/>
  <c r="E36" i="3"/>
  <c r="C36" i="3"/>
  <c r="C35" i="3"/>
  <c r="C34" i="3"/>
  <c r="W18" i="3"/>
  <c r="V18" i="3"/>
  <c r="U18" i="3"/>
  <c r="Y18" i="3" s="1"/>
  <c r="W17" i="3"/>
  <c r="V17" i="3"/>
  <c r="U17" i="3"/>
  <c r="Y17" i="3" s="1"/>
  <c r="W16" i="3"/>
  <c r="V16" i="3"/>
  <c r="U16" i="3"/>
  <c r="Y16" i="3" s="1"/>
  <c r="W15" i="3"/>
  <c r="V15" i="3"/>
  <c r="U15" i="3"/>
  <c r="Y15" i="3" s="1"/>
  <c r="W14" i="3"/>
  <c r="V14" i="3"/>
  <c r="U14" i="3"/>
  <c r="Y14" i="3" s="1"/>
  <c r="W13" i="3"/>
  <c r="V13" i="3"/>
  <c r="U13" i="3"/>
  <c r="Y13" i="3" s="1"/>
  <c r="W12" i="3"/>
  <c r="V12" i="3"/>
  <c r="U12" i="3"/>
  <c r="Y12" i="3" s="1"/>
  <c r="W11" i="3"/>
  <c r="V11" i="3"/>
  <c r="U11" i="3"/>
  <c r="Y11" i="3" s="1"/>
  <c r="W10" i="3"/>
  <c r="V10" i="3"/>
  <c r="U10" i="3"/>
  <c r="Y10" i="3" s="1"/>
  <c r="W9" i="3"/>
  <c r="V9" i="3"/>
  <c r="U9" i="3"/>
  <c r="Y9" i="3" s="1"/>
  <c r="W8" i="3"/>
  <c r="V8" i="3"/>
  <c r="U8" i="3"/>
  <c r="W7" i="3"/>
  <c r="V7" i="3"/>
  <c r="U7" i="3"/>
  <c r="Y7" i="3" s="1"/>
  <c r="W6" i="3"/>
  <c r="V6" i="3"/>
  <c r="U6" i="3"/>
  <c r="Y6" i="3" s="1"/>
  <c r="W5" i="3"/>
  <c r="V5" i="3"/>
  <c r="U5" i="3"/>
  <c r="Y5" i="3" s="1"/>
  <c r="V13" i="2"/>
  <c r="V84" i="2"/>
  <c r="V85" i="2"/>
  <c r="V86" i="2"/>
  <c r="V87" i="2"/>
  <c r="V88" i="2"/>
  <c r="V89" i="2"/>
  <c r="C34" i="2"/>
  <c r="C35" i="2"/>
  <c r="C36" i="2"/>
  <c r="E36" i="2"/>
  <c r="C38" i="2"/>
  <c r="E38" i="2"/>
  <c r="C39" i="2"/>
  <c r="C40" i="2"/>
  <c r="C41" i="2"/>
  <c r="C42" i="2"/>
  <c r="W5" i="2"/>
  <c r="V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46" i="2"/>
  <c r="U10" i="2"/>
  <c r="U5" i="2"/>
  <c r="U9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V7" i="2"/>
  <c r="V8" i="2"/>
  <c r="V9" i="2"/>
  <c r="V10" i="2"/>
  <c r="V11" i="2"/>
  <c r="V12" i="2"/>
  <c r="V14" i="2"/>
  <c r="V15" i="2"/>
  <c r="V16" i="2"/>
  <c r="V17" i="2"/>
  <c r="V18" i="2"/>
  <c r="U6" i="2"/>
  <c r="U7" i="2"/>
  <c r="U8" i="2"/>
  <c r="U11" i="2"/>
  <c r="U12" i="2"/>
  <c r="U13" i="2"/>
  <c r="U14" i="2"/>
  <c r="U15" i="2"/>
  <c r="U16" i="2"/>
  <c r="U17" i="2"/>
  <c r="U18" i="2"/>
  <c r="V5" i="2"/>
  <c r="Y9" i="2" l="1"/>
  <c r="Y18" i="2"/>
  <c r="Y16" i="2"/>
  <c r="C19" i="2"/>
  <c r="Y17" i="2"/>
  <c r="Y13" i="2"/>
  <c r="Y6" i="2"/>
  <c r="Y11" i="2"/>
  <c r="Y5" i="2"/>
  <c r="Y12" i="2"/>
  <c r="Y10" i="2"/>
  <c r="Y8" i="2"/>
  <c r="Y15" i="2"/>
  <c r="Y14" i="2"/>
  <c r="C19" i="3"/>
</calcChain>
</file>

<file path=xl/sharedStrings.xml><?xml version="1.0" encoding="utf-8"?>
<sst xmlns="http://schemas.openxmlformats.org/spreadsheetml/2006/main" count="365" uniqueCount="85">
  <si>
    <t>Actions' scenario- and attribute-specific utilities</t>
  </si>
  <si>
    <t>Actions'  scenario-specific utilities</t>
  </si>
  <si>
    <t>Actions' expected utilities</t>
  </si>
  <si>
    <t>Unlimited Growth Drivers</t>
  </si>
  <si>
    <t>Common Challenge Solvers</t>
  </si>
  <si>
    <t>Bastions of Knowledge</t>
  </si>
  <si>
    <t>Action proposals</t>
  </si>
  <si>
    <t>Decision variables</t>
  </si>
  <si>
    <t>Academic Excellence &amp; Integrity</t>
  </si>
  <si>
    <t>Financial Sustainability &amp; Autonomy</t>
  </si>
  <si>
    <t>Global Relevance &amp; Leadership</t>
  </si>
  <si>
    <t>Societal Impact &amp; Public Trust</t>
  </si>
  <si>
    <t>Innovation in Education &amp; Research</t>
  </si>
  <si>
    <t>Academic &amp; Societal Engagement</t>
  </si>
  <si>
    <t>Develop custom learning platforms and expand lifelong learning programs</t>
  </si>
  <si>
    <t>Promote applied research leadership through corporate partnerships</t>
  </si>
  <si>
    <t>Lead large-scale research consortia and interdisciplinary initiatives</t>
  </si>
  <si>
    <t>Enhance interdisciplinary collaboration in research and education</t>
  </si>
  <si>
    <t>Lead public science communication and expand outreach</t>
  </si>
  <si>
    <t>Host global academic events and establish Aalto as a knowledge hub</t>
  </si>
  <si>
    <t>Expand open-access publishing and research dissemination</t>
  </si>
  <si>
    <t>Strengthen public engagement through dialogues and outreach programs</t>
  </si>
  <si>
    <t>Governance &amp; Institutional Strategy</t>
  </si>
  <si>
    <t>Establish academic safeguards and strengthen faculty governance</t>
  </si>
  <si>
    <t>Leverage corporate investment and diversify revenue streams</t>
  </si>
  <si>
    <t>Create ethical guidelines and implement academic oversight</t>
  </si>
  <si>
    <t>Influence EU policy and funding priorities</t>
  </si>
  <si>
    <t>Simplify grant management processes and improve research administration</t>
  </si>
  <si>
    <t>Develop contingency funds to protect against funding fluctuations</t>
  </si>
  <si>
    <t>Expected portfolio utility</t>
  </si>
  <si>
    <t>Attribute weights</t>
  </si>
  <si>
    <t>Weight</t>
  </si>
  <si>
    <t>ExtW1</t>
  </si>
  <si>
    <t>ExtW2</t>
  </si>
  <si>
    <t>ExtW3</t>
  </si>
  <si>
    <t>ExtW4</t>
  </si>
  <si>
    <t>ExtW5</t>
  </si>
  <si>
    <t>Scenario probabilities</t>
  </si>
  <si>
    <t>Probability</t>
  </si>
  <si>
    <t>ExtP1</t>
  </si>
  <si>
    <t>ExtP2</t>
  </si>
  <si>
    <t>ExtP3</t>
  </si>
  <si>
    <t>Constraints</t>
  </si>
  <si>
    <t>X</t>
  </si>
  <si>
    <t>Resources</t>
  </si>
  <si>
    <t>No more than 6 actions should be included in the final portfolio (to maintain feasibility).</t>
  </si>
  <si>
    <t>&lt;=</t>
  </si>
  <si>
    <t>Logical constrains</t>
  </si>
  <si>
    <r>
      <rPr>
        <b/>
        <sz val="11"/>
        <color rgb="FF000000"/>
        <rFont val="Aptos Narrow"/>
        <scheme val="minor"/>
      </rPr>
      <t>"Develop contingency funds"</t>
    </r>
    <r>
      <rPr>
        <sz val="11"/>
        <color rgb="FF000000"/>
        <rFont val="Aptos Narrow"/>
        <scheme val="minor"/>
      </rPr>
      <t xml:space="preserve"> and </t>
    </r>
    <r>
      <rPr>
        <b/>
        <sz val="11"/>
        <color rgb="FF000000"/>
        <rFont val="Aptos Narrow"/>
        <scheme val="minor"/>
      </rPr>
      <t>"Leverage corporate investment"</t>
    </r>
    <r>
      <rPr>
        <sz val="11"/>
        <color rgb="FF000000"/>
        <rFont val="Aptos Narrow"/>
        <scheme val="minor"/>
      </rPr>
      <t xml:space="preserve"> are mutually exclusive (since one relies on private funding, the other reduces dependency on it).</t>
    </r>
  </si>
  <si>
    <r>
      <rPr>
        <b/>
        <sz val="11"/>
        <color rgb="FF000000"/>
        <rFont val="Aptos Narrow"/>
        <scheme val="minor"/>
      </rPr>
      <t>"Establish faculty governance"</t>
    </r>
    <r>
      <rPr>
        <sz val="11"/>
        <color rgb="FF000000"/>
        <rFont val="Aptos Narrow"/>
        <scheme val="minor"/>
      </rPr>
      <t xml:space="preserve"> and </t>
    </r>
    <r>
      <rPr>
        <b/>
        <sz val="11"/>
        <color rgb="FF000000"/>
        <rFont val="Aptos Narrow"/>
        <scheme val="minor"/>
      </rPr>
      <t>"Create ethical guidelines"</t>
    </r>
    <r>
      <rPr>
        <sz val="11"/>
        <color rgb="FF000000"/>
        <rFont val="Aptos Narrow"/>
        <scheme val="minor"/>
      </rPr>
      <t xml:space="preserve"> must be implemented together (ethical oversight needs governance structures).</t>
    </r>
  </si>
  <si>
    <t>=</t>
  </si>
  <si>
    <r>
      <t>"Host global academic events"</t>
    </r>
    <r>
      <rPr>
        <sz val="11"/>
        <color theme="1"/>
        <rFont val="Aptos Narrow"/>
        <family val="2"/>
        <scheme val="minor"/>
      </rPr>
      <t xml:space="preserve"> requires </t>
    </r>
    <r>
      <rPr>
        <b/>
        <sz val="11"/>
        <color theme="1"/>
        <rFont val="Aptos Narrow"/>
        <family val="2"/>
        <scheme val="minor"/>
      </rPr>
      <t>"Expand interdisciplinary collaboration"</t>
    </r>
    <r>
      <rPr>
        <sz val="11"/>
        <color theme="1"/>
        <rFont val="Aptos Narrow"/>
        <family val="2"/>
        <scheme val="minor"/>
      </rPr>
      <t xml:space="preserve"> (to create valuable content for global knowledge sharing).</t>
    </r>
  </si>
  <si>
    <t>Balance</t>
  </si>
  <si>
    <t>Choose at least 3 action proposals from each category</t>
  </si>
  <si>
    <t>&gt;=</t>
  </si>
  <si>
    <t>No more than 5 action proposals may be selected from either category</t>
  </si>
  <si>
    <t>Decision alternatives</t>
  </si>
  <si>
    <t>n&lt;=8</t>
  </si>
  <si>
    <t>Given W and P</t>
  </si>
  <si>
    <t>P1W1</t>
  </si>
  <si>
    <t>P1W2</t>
  </si>
  <si>
    <t>P1W3</t>
  </si>
  <si>
    <t>P1W4</t>
  </si>
  <si>
    <t>P1W5</t>
  </si>
  <si>
    <t>P2W1</t>
  </si>
  <si>
    <t>P2W2</t>
  </si>
  <si>
    <t>P2W3</t>
  </si>
  <si>
    <t>P2W4</t>
  </si>
  <si>
    <t>P2W5</t>
  </si>
  <si>
    <t>P3W1</t>
  </si>
  <si>
    <t>P3W2</t>
  </si>
  <si>
    <t>P3W3</t>
  </si>
  <si>
    <t>P3W4</t>
  </si>
  <si>
    <t>P3W5</t>
  </si>
  <si>
    <t>n&lt;=6</t>
  </si>
  <si>
    <t>n&lt;=4</t>
  </si>
  <si>
    <r>
      <t>"Develop contingency funds"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"Leverage corporate investment"</t>
    </r>
    <r>
      <rPr>
        <sz val="11"/>
        <color theme="1"/>
        <rFont val="Aptos Narrow"/>
        <family val="2"/>
        <scheme val="minor"/>
      </rPr>
      <t xml:space="preserve"> are mutually exclusive (since one relies on private funding, the other reduces dependency on it).</t>
    </r>
  </si>
  <si>
    <t>EU maximizing portfolios</t>
  </si>
  <si>
    <t>Scenario-specific recommendations</t>
  </si>
  <si>
    <t>R</t>
  </si>
  <si>
    <t>R + L</t>
  </si>
  <si>
    <t>R + L + B</t>
  </si>
  <si>
    <t>UGD</t>
  </si>
  <si>
    <t>CCS</t>
  </si>
  <si>
    <t>BoK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</si>
</sst>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2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5755"/>
        <bgColor indexed="64"/>
      </patternFill>
    </fill>
    <fill>
      <patternFill patternType="solid">
        <fgColor rgb="FFFFFD9D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6" borderId="0" xfId="0" applyFont="1" applyFill="1"/>
    <xf numFmtId="0" fontId="1" fillId="7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vertical="center" textRotation="90" wrapText="1"/>
    </xf>
    <xf numFmtId="0" fontId="3" fillId="0" borderId="0" xfId="0" applyFont="1"/>
    <xf numFmtId="0" fontId="1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center" wrapText="1"/>
    </xf>
    <xf numFmtId="0" fontId="0" fillId="10" borderId="0" xfId="0" applyFill="1"/>
    <xf numFmtId="0" fontId="7" fillId="0" borderId="0" xfId="0" applyFont="1"/>
    <xf numFmtId="0" fontId="7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1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8" fillId="16" borderId="0" xfId="0" applyFont="1" applyFill="1"/>
    <xf numFmtId="0" fontId="1" fillId="5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" fillId="16" borderId="0" xfId="0" applyFont="1" applyFill="1"/>
    <xf numFmtId="0" fontId="1" fillId="15" borderId="0" xfId="0" applyFont="1" applyFill="1"/>
    <xf numFmtId="0" fontId="1" fillId="9" borderId="0" xfId="0" applyFont="1" applyFill="1"/>
    <xf numFmtId="0" fontId="1" fillId="14" borderId="0" xfId="0" applyFont="1" applyFill="1"/>
    <xf numFmtId="0" fontId="1" fillId="13" borderId="0" xfId="0" applyFont="1" applyFill="1"/>
    <xf numFmtId="0" fontId="8" fillId="0" borderId="0" xfId="0" applyFont="1" applyAlignment="1">
      <alignment horizontal="center"/>
    </xf>
    <xf numFmtId="0" fontId="13" fillId="0" borderId="0" xfId="0" applyFont="1"/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16" borderId="0" xfId="0" applyFont="1" applyFill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16" borderId="0" xfId="0" applyFont="1" applyFill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201"/>
      <color rgb="FFFFFD9D"/>
      <color rgb="FFFD5755"/>
      <color rgb="FF00EE00"/>
      <color rgb="FFFF0000"/>
      <color rgb="FFF864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92F5-5A83-A84A-A2AC-6D7391FC9355}">
  <dimension ref="A2:AH89"/>
  <sheetViews>
    <sheetView tabSelected="1" topLeftCell="B1" workbookViewId="0">
      <selection activeCell="H29" sqref="H29"/>
    </sheetView>
  </sheetViews>
  <sheetFormatPr baseColWidth="10" defaultColWidth="8.83203125" defaultRowHeight="15" x14ac:dyDescent="0.2"/>
  <cols>
    <col min="1" max="1" width="14" customWidth="1"/>
    <col min="2" max="2" width="62.6640625" customWidth="1"/>
    <col min="3" max="3" width="10.83203125" customWidth="1"/>
    <col min="4" max="4" width="12.1640625" customWidth="1"/>
    <col min="5" max="5" width="12.6640625" customWidth="1"/>
    <col min="6" max="6" width="12.1640625" customWidth="1"/>
    <col min="7" max="7" width="13.33203125" customWidth="1"/>
    <col min="8" max="8" width="12.5" customWidth="1"/>
    <col min="9" max="9" width="12.33203125" customWidth="1"/>
    <col min="10" max="10" width="13.6640625" customWidth="1"/>
    <col min="11" max="11" width="14.5" customWidth="1"/>
    <col min="12" max="12" width="11.1640625" customWidth="1"/>
    <col min="13" max="13" width="12.6640625" customWidth="1"/>
    <col min="14" max="14" width="11.5" customWidth="1"/>
    <col min="15" max="15" width="10.5" customWidth="1"/>
    <col min="16" max="16" width="12.5" customWidth="1"/>
    <col min="17" max="17" width="12.1640625" customWidth="1"/>
    <col min="18" max="18" width="12.5" customWidth="1"/>
    <col min="19" max="19" width="11.5" customWidth="1"/>
    <col min="20" max="21" width="7.33203125" customWidth="1"/>
    <col min="22" max="22" width="13.6640625" customWidth="1"/>
    <col min="23" max="23" width="11.83203125" customWidth="1"/>
    <col min="27" max="27" width="12.6640625" customWidth="1"/>
    <col min="28" max="28" width="11.83203125" customWidth="1"/>
    <col min="29" max="29" width="13.33203125" customWidth="1"/>
    <col min="30" max="30" width="57.1640625" customWidth="1"/>
  </cols>
  <sheetData>
    <row r="2" spans="1:25" ht="28.75" customHeight="1" x14ac:dyDescent="0.2">
      <c r="E2" s="48" t="s">
        <v>0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U2" s="43" t="s">
        <v>1</v>
      </c>
      <c r="V2" s="43"/>
      <c r="W2" s="43"/>
      <c r="Y2" s="9" t="s">
        <v>2</v>
      </c>
    </row>
    <row r="3" spans="1:25" ht="64" x14ac:dyDescent="0.2">
      <c r="E3" s="47" t="s">
        <v>3</v>
      </c>
      <c r="F3" s="47"/>
      <c r="G3" s="47"/>
      <c r="H3" s="47"/>
      <c r="I3" s="47"/>
      <c r="J3" s="47" t="s">
        <v>4</v>
      </c>
      <c r="K3" s="47"/>
      <c r="L3" s="47"/>
      <c r="M3" s="47"/>
      <c r="N3" s="47"/>
      <c r="O3" s="47" t="s">
        <v>5</v>
      </c>
      <c r="P3" s="47"/>
      <c r="Q3" s="47"/>
      <c r="R3" s="47"/>
      <c r="S3" s="47"/>
      <c r="U3" s="8" t="s">
        <v>3</v>
      </c>
      <c r="V3" s="8" t="s">
        <v>4</v>
      </c>
      <c r="W3" s="8" t="s">
        <v>5</v>
      </c>
    </row>
    <row r="4" spans="1:25" ht="76" customHeight="1" x14ac:dyDescent="0.2">
      <c r="B4" s="31" t="s">
        <v>6</v>
      </c>
      <c r="C4" s="7" t="s">
        <v>7</v>
      </c>
      <c r="D4" s="4"/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8</v>
      </c>
      <c r="P4" s="6" t="s">
        <v>9</v>
      </c>
      <c r="Q4" s="6" t="s">
        <v>10</v>
      </c>
      <c r="R4" s="6" t="s">
        <v>11</v>
      </c>
      <c r="S4" s="6" t="s">
        <v>12</v>
      </c>
    </row>
    <row r="5" spans="1:25" ht="16" x14ac:dyDescent="0.2">
      <c r="A5" s="49" t="s">
        <v>13</v>
      </c>
      <c r="B5" s="30" t="s">
        <v>14</v>
      </c>
      <c r="C5" s="28">
        <v>0</v>
      </c>
      <c r="E5" s="20">
        <v>0.755</v>
      </c>
      <c r="F5" s="20">
        <v>0.4</v>
      </c>
      <c r="G5" s="18">
        <v>0.77249999999999996</v>
      </c>
      <c r="H5" s="18">
        <v>0.45</v>
      </c>
      <c r="I5" s="20">
        <v>1</v>
      </c>
      <c r="J5" s="18">
        <v>0.3</v>
      </c>
      <c r="K5" s="18">
        <v>0.4</v>
      </c>
      <c r="L5" s="18">
        <v>0.77249999999999996</v>
      </c>
      <c r="M5" s="18">
        <v>0.45</v>
      </c>
      <c r="N5" s="18">
        <v>0.85840000000000005</v>
      </c>
      <c r="O5" s="18">
        <v>0.3</v>
      </c>
      <c r="P5" s="18">
        <v>0.4</v>
      </c>
      <c r="Q5" s="18">
        <v>0.77249999999999996</v>
      </c>
      <c r="R5" s="18">
        <v>0.45</v>
      </c>
      <c r="S5" s="18">
        <v>0.85840000000000005</v>
      </c>
      <c r="U5" s="21">
        <f>$C$22*E5+$C$23*F5+$C$24*G5+$C$25*H5+$C$26*I5</f>
        <v>0.70149499999999998</v>
      </c>
      <c r="V5" s="2">
        <f>$C$22*J5+$C$23*K5+$C$24*L5+$C$25*M5+$C$26*N5</f>
        <v>0.49408820000000003</v>
      </c>
      <c r="W5" s="2">
        <f>$C$22*O5+$C$23*P5+$C$24*Q5+$C$25*R5+$C$26*S5</f>
        <v>0.49408820000000003</v>
      </c>
      <c r="X5" s="2"/>
      <c r="Y5" s="2">
        <f>$C$29*U5+$C$30*V5+$C$31*W5</f>
        <v>0.57705092000000002</v>
      </c>
    </row>
    <row r="6" spans="1:25" ht="16" x14ac:dyDescent="0.2">
      <c r="A6" s="49"/>
      <c r="B6" s="30" t="s">
        <v>15</v>
      </c>
      <c r="C6" s="29">
        <v>1</v>
      </c>
      <c r="E6" s="20">
        <v>0.755</v>
      </c>
      <c r="F6" s="20">
        <v>1</v>
      </c>
      <c r="G6" s="18">
        <v>0.77249999999999996</v>
      </c>
      <c r="H6" s="18">
        <v>0.45</v>
      </c>
      <c r="I6" s="18">
        <v>0.85840000000000005</v>
      </c>
      <c r="J6" s="18">
        <v>0.3</v>
      </c>
      <c r="K6" s="18">
        <v>0.82</v>
      </c>
      <c r="L6" s="18">
        <v>0.77249999999999996</v>
      </c>
      <c r="M6" s="18">
        <v>0.45</v>
      </c>
      <c r="N6" s="18">
        <v>0.85840000000000005</v>
      </c>
      <c r="O6" s="18">
        <v>0.3</v>
      </c>
      <c r="P6" s="18">
        <v>0.82</v>
      </c>
      <c r="Q6" s="18">
        <v>0.77249999999999996</v>
      </c>
      <c r="R6" s="18">
        <v>0.45</v>
      </c>
      <c r="S6" s="18">
        <v>0.85840000000000005</v>
      </c>
      <c r="U6" s="21">
        <f t="shared" ref="U6:U18" si="0">$C$22*E6+$C$23*F6+$C$24*G6+$C$25*H6+$C$26*I6</f>
        <v>0.75979820000000009</v>
      </c>
      <c r="V6" s="2">
        <f t="shared" ref="V6:V18" si="1">$C$22*J6+$C$23*K6+$C$24*L6+$C$25*M6+$C$26*N6</f>
        <v>0.55204819999999999</v>
      </c>
      <c r="W6" s="2">
        <f t="shared" ref="W6:W18" si="2">$C$22*O6+$C$23*P6+$C$24*Q6+$C$25*R6+$C$26*S6</f>
        <v>0.55204819999999999</v>
      </c>
      <c r="X6" s="2"/>
      <c r="Y6" s="2">
        <f t="shared" ref="Y6:Y18" si="3">$C$29*U6+$C$30*V6+$C$31*W6</f>
        <v>0.63514820000000005</v>
      </c>
    </row>
    <row r="7" spans="1:25" ht="16" x14ac:dyDescent="0.2">
      <c r="A7" s="49"/>
      <c r="B7" s="30" t="s">
        <v>16</v>
      </c>
      <c r="C7" s="29">
        <v>1</v>
      </c>
      <c r="E7" s="20">
        <v>0.755</v>
      </c>
      <c r="F7" s="20">
        <v>0.82</v>
      </c>
      <c r="G7" s="18">
        <v>0.77249999999999996</v>
      </c>
      <c r="H7" s="18">
        <v>0.83750000000000002</v>
      </c>
      <c r="I7" s="20">
        <v>1</v>
      </c>
      <c r="J7" s="18">
        <v>0.755</v>
      </c>
      <c r="K7" s="18">
        <v>0.82</v>
      </c>
      <c r="L7" s="20">
        <v>1</v>
      </c>
      <c r="M7" s="18">
        <v>0.83750000000000002</v>
      </c>
      <c r="N7" s="20">
        <v>1</v>
      </c>
      <c r="O7" s="18">
        <v>0.755</v>
      </c>
      <c r="P7" s="18">
        <v>0.82</v>
      </c>
      <c r="Q7" s="18">
        <v>0.77249999999999996</v>
      </c>
      <c r="R7" s="18">
        <v>0.83750000000000002</v>
      </c>
      <c r="S7" s="20">
        <v>1</v>
      </c>
      <c r="U7" s="21">
        <f t="shared" si="0"/>
        <v>0.82184250000000003</v>
      </c>
      <c r="V7" s="2">
        <f t="shared" si="1"/>
        <v>0.85050749999999997</v>
      </c>
      <c r="W7" s="2">
        <f t="shared" si="2"/>
        <v>0.82184250000000003</v>
      </c>
      <c r="X7" s="2"/>
      <c r="Y7" s="2">
        <f>$C$29*U7+$C$30*V7+$C$31*W7</f>
        <v>0.83187524999999996</v>
      </c>
    </row>
    <row r="8" spans="1:25" ht="16" x14ac:dyDescent="0.2">
      <c r="A8" s="49"/>
      <c r="B8" s="30" t="s">
        <v>17</v>
      </c>
      <c r="C8" s="29">
        <v>1</v>
      </c>
      <c r="E8" s="20">
        <v>0.755</v>
      </c>
      <c r="F8" s="20">
        <v>0.4</v>
      </c>
      <c r="G8" s="18">
        <v>0.77249999999999996</v>
      </c>
      <c r="H8" s="18">
        <v>0.45</v>
      </c>
      <c r="I8" s="20">
        <v>1</v>
      </c>
      <c r="J8" s="18">
        <v>0.755</v>
      </c>
      <c r="K8" s="18">
        <v>0.4</v>
      </c>
      <c r="L8" s="18">
        <v>0.77249999999999996</v>
      </c>
      <c r="M8" s="18">
        <v>0.45</v>
      </c>
      <c r="N8" s="20">
        <v>1</v>
      </c>
      <c r="O8" s="18">
        <v>0.755</v>
      </c>
      <c r="P8" s="18">
        <v>0.4</v>
      </c>
      <c r="Q8" s="18">
        <v>0.77249999999999996</v>
      </c>
      <c r="R8" s="18">
        <v>0.45</v>
      </c>
      <c r="S8" s="20">
        <v>1</v>
      </c>
      <c r="U8" s="21">
        <f t="shared" si="0"/>
        <v>0.70149499999999998</v>
      </c>
      <c r="V8" s="2">
        <f t="shared" si="1"/>
        <v>0.70149499999999998</v>
      </c>
      <c r="W8" s="2">
        <f t="shared" si="2"/>
        <v>0.70149499999999998</v>
      </c>
      <c r="X8" s="2"/>
      <c r="Y8" s="2">
        <f t="shared" si="3"/>
        <v>0.70149499999999998</v>
      </c>
    </row>
    <row r="9" spans="1:25" ht="16" x14ac:dyDescent="0.2">
      <c r="A9" s="49"/>
      <c r="B9" s="30" t="s">
        <v>18</v>
      </c>
      <c r="C9" s="28">
        <v>0</v>
      </c>
      <c r="E9" s="18">
        <v>0.3</v>
      </c>
      <c r="F9" s="20">
        <v>0.4</v>
      </c>
      <c r="G9" s="18">
        <v>0.77249999999999996</v>
      </c>
      <c r="H9" s="20">
        <v>1</v>
      </c>
      <c r="I9" s="18">
        <v>0.38</v>
      </c>
      <c r="J9" s="18">
        <v>0.3</v>
      </c>
      <c r="K9" s="18">
        <v>0.4</v>
      </c>
      <c r="L9" s="18">
        <v>0.77249999999999996</v>
      </c>
      <c r="M9" s="20">
        <v>1</v>
      </c>
      <c r="N9" s="18">
        <v>0.38</v>
      </c>
      <c r="O9" s="18">
        <v>0.3</v>
      </c>
      <c r="P9" s="18">
        <v>0.4</v>
      </c>
      <c r="Q9" s="18">
        <v>0.77249999999999996</v>
      </c>
      <c r="R9" s="20">
        <v>1</v>
      </c>
      <c r="S9" s="18">
        <v>0.38</v>
      </c>
      <c r="U9" s="21">
        <f>$C$22*E9+$C$23*F9+$C$24*G9+$C$25*H9+$C$26*I9</f>
        <v>0.49987500000000007</v>
      </c>
      <c r="V9" s="2">
        <f t="shared" si="1"/>
        <v>0.49987500000000007</v>
      </c>
      <c r="W9" s="2">
        <f t="shared" si="2"/>
        <v>0.49987500000000007</v>
      </c>
      <c r="X9" s="2"/>
      <c r="Y9" s="2">
        <f>$C$29*U9+$C$30*V9+$C$31*W9</f>
        <v>0.49987500000000007</v>
      </c>
    </row>
    <row r="10" spans="1:25" ht="16" x14ac:dyDescent="0.2">
      <c r="A10" s="49"/>
      <c r="B10" s="30" t="s">
        <v>19</v>
      </c>
      <c r="C10" s="29">
        <v>1</v>
      </c>
      <c r="E10" s="20">
        <v>0.755</v>
      </c>
      <c r="F10" s="20">
        <v>0.4</v>
      </c>
      <c r="G10" s="20">
        <v>1</v>
      </c>
      <c r="H10" s="18">
        <v>0.83750000000000002</v>
      </c>
      <c r="I10" s="18">
        <v>0.38</v>
      </c>
      <c r="J10" s="18">
        <v>0.755</v>
      </c>
      <c r="K10" s="18">
        <v>0.4</v>
      </c>
      <c r="L10" s="20">
        <v>1</v>
      </c>
      <c r="M10" s="18">
        <v>0.83750000000000002</v>
      </c>
      <c r="N10" s="18">
        <v>0.38</v>
      </c>
      <c r="O10" s="18">
        <v>0.755</v>
      </c>
      <c r="P10" s="18">
        <v>0.4</v>
      </c>
      <c r="Q10" s="20">
        <v>1</v>
      </c>
      <c r="R10" s="18">
        <v>0.83750000000000002</v>
      </c>
      <c r="S10" s="18">
        <v>0.38</v>
      </c>
      <c r="U10" s="21">
        <f>$C$22*E10+$C$23*F10+$C$24*G10+$C$25*H10+$C$26*I10</f>
        <v>0.68528750000000005</v>
      </c>
      <c r="V10" s="2">
        <f t="shared" si="1"/>
        <v>0.68528750000000005</v>
      </c>
      <c r="W10" s="2">
        <f t="shared" si="2"/>
        <v>0.68528750000000005</v>
      </c>
      <c r="X10" s="2"/>
      <c r="Y10" s="2">
        <f t="shared" si="3"/>
        <v>0.68528750000000005</v>
      </c>
    </row>
    <row r="11" spans="1:25" ht="16" x14ac:dyDescent="0.2">
      <c r="A11" s="49"/>
      <c r="B11" s="30" t="s">
        <v>20</v>
      </c>
      <c r="C11" s="29">
        <v>1</v>
      </c>
      <c r="E11" s="18">
        <v>0.3</v>
      </c>
      <c r="F11" s="20">
        <v>0.4</v>
      </c>
      <c r="G11" s="18">
        <v>0.35</v>
      </c>
      <c r="H11" s="18">
        <v>0.83750000000000002</v>
      </c>
      <c r="I11" s="18">
        <v>0.85840000000000005</v>
      </c>
      <c r="J11" s="18">
        <v>0.3</v>
      </c>
      <c r="K11" s="18">
        <v>0.4</v>
      </c>
      <c r="L11" s="18">
        <v>0.35</v>
      </c>
      <c r="M11" s="18">
        <v>0.83750000000000002</v>
      </c>
      <c r="N11" s="18">
        <v>0.85840000000000005</v>
      </c>
      <c r="O11" s="18">
        <v>0.3</v>
      </c>
      <c r="P11" s="18">
        <v>0.4</v>
      </c>
      <c r="Q11" s="18">
        <v>0.35</v>
      </c>
      <c r="R11" s="18">
        <v>0.83750000000000002</v>
      </c>
      <c r="S11" s="18">
        <v>0.85840000000000005</v>
      </c>
      <c r="U11" s="21">
        <f t="shared" si="0"/>
        <v>0.5032407000000001</v>
      </c>
      <c r="V11" s="2">
        <f t="shared" si="1"/>
        <v>0.5032407000000001</v>
      </c>
      <c r="W11" s="2">
        <f t="shared" si="2"/>
        <v>0.5032407000000001</v>
      </c>
      <c r="X11" s="2"/>
      <c r="Y11" s="2">
        <f>$C$29*U11+$C$30*V11+$C$31*W11</f>
        <v>0.5032407000000001</v>
      </c>
    </row>
    <row r="12" spans="1:25" ht="16" x14ac:dyDescent="0.2">
      <c r="A12" s="49"/>
      <c r="B12" s="30" t="s">
        <v>21</v>
      </c>
      <c r="C12" s="28">
        <v>0</v>
      </c>
      <c r="E12" s="18">
        <v>0.3</v>
      </c>
      <c r="F12" s="20">
        <v>0.4</v>
      </c>
      <c r="G12" s="18">
        <v>0.35</v>
      </c>
      <c r="H12" s="20">
        <v>1</v>
      </c>
      <c r="I12" s="18">
        <v>0.38</v>
      </c>
      <c r="J12" s="18">
        <v>0.3</v>
      </c>
      <c r="K12" s="18">
        <v>0.4</v>
      </c>
      <c r="L12" s="18">
        <v>0.35</v>
      </c>
      <c r="M12" s="20">
        <v>1</v>
      </c>
      <c r="N12" s="18">
        <v>0.38</v>
      </c>
      <c r="O12" s="18">
        <v>0.3</v>
      </c>
      <c r="P12" s="18">
        <v>0.4</v>
      </c>
      <c r="Q12" s="18">
        <v>0.35</v>
      </c>
      <c r="R12" s="20">
        <v>1</v>
      </c>
      <c r="S12" s="18">
        <v>0.38</v>
      </c>
      <c r="U12" s="21">
        <f t="shared" si="0"/>
        <v>0.44664000000000004</v>
      </c>
      <c r="V12" s="2">
        <f t="shared" si="1"/>
        <v>0.44664000000000004</v>
      </c>
      <c r="W12" s="2">
        <f t="shared" si="2"/>
        <v>0.44664000000000004</v>
      </c>
      <c r="X12" s="2"/>
      <c r="Y12" s="2">
        <f t="shared" si="3"/>
        <v>0.44664000000000004</v>
      </c>
    </row>
    <row r="13" spans="1:25" ht="16" x14ac:dyDescent="0.2">
      <c r="A13" s="50" t="s">
        <v>22</v>
      </c>
      <c r="B13" s="26" t="s">
        <v>23</v>
      </c>
      <c r="C13" s="29">
        <v>1</v>
      </c>
      <c r="E13" s="20">
        <v>0.755</v>
      </c>
      <c r="F13" s="20">
        <v>0.4</v>
      </c>
      <c r="G13" s="18">
        <v>0.35</v>
      </c>
      <c r="H13" s="18">
        <v>0.83750000000000002</v>
      </c>
      <c r="I13" s="18">
        <v>0.38</v>
      </c>
      <c r="J13" s="18">
        <v>0.755</v>
      </c>
      <c r="K13" s="18">
        <v>0.4</v>
      </c>
      <c r="L13" s="18">
        <v>0.35</v>
      </c>
      <c r="M13" s="18">
        <v>0.83750000000000002</v>
      </c>
      <c r="N13" s="18">
        <v>0.38</v>
      </c>
      <c r="O13" s="20">
        <v>1</v>
      </c>
      <c r="P13" s="18">
        <v>0.4</v>
      </c>
      <c r="Q13" s="18">
        <v>0.35</v>
      </c>
      <c r="R13" s="18">
        <v>0.83750000000000002</v>
      </c>
      <c r="S13" s="18">
        <v>0.38</v>
      </c>
      <c r="U13" s="21">
        <f t="shared" si="0"/>
        <v>0.60338750000000008</v>
      </c>
      <c r="V13" s="2">
        <f>$C$22*J13+$C$23*K13+$C$24*L13+$C$25*M13+$C$26*N13</f>
        <v>0.60338750000000008</v>
      </c>
      <c r="W13" s="2">
        <f t="shared" si="2"/>
        <v>0.70187750000000004</v>
      </c>
      <c r="X13" s="2"/>
      <c r="Y13" s="2">
        <f>$C$29*U13+$C$30*V13+$C$31*W13</f>
        <v>0.62801000000000007</v>
      </c>
    </row>
    <row r="14" spans="1:25" ht="16" x14ac:dyDescent="0.2">
      <c r="A14" s="50"/>
      <c r="B14" s="26" t="s">
        <v>24</v>
      </c>
      <c r="C14" s="28">
        <v>0</v>
      </c>
      <c r="E14" s="18">
        <v>0.3</v>
      </c>
      <c r="F14" s="20">
        <v>1</v>
      </c>
      <c r="G14" s="18">
        <v>0.77249999999999996</v>
      </c>
      <c r="H14" s="18">
        <v>0.45</v>
      </c>
      <c r="I14" s="18">
        <v>0.38</v>
      </c>
      <c r="J14" s="18">
        <v>0.3</v>
      </c>
      <c r="K14" s="18">
        <v>0.82</v>
      </c>
      <c r="L14" s="18">
        <v>0.77249999999999996</v>
      </c>
      <c r="M14" s="18">
        <v>0.45</v>
      </c>
      <c r="N14" s="18">
        <v>0.38</v>
      </c>
      <c r="O14" s="18">
        <v>0.3</v>
      </c>
      <c r="P14" s="18">
        <v>0.82</v>
      </c>
      <c r="Q14" s="18">
        <v>0.77249999999999996</v>
      </c>
      <c r="R14" s="18">
        <v>0.45</v>
      </c>
      <c r="S14" s="18">
        <v>0.38</v>
      </c>
      <c r="U14" s="21">
        <f t="shared" si="0"/>
        <v>0.49412500000000004</v>
      </c>
      <c r="V14" s="2">
        <f t="shared" si="1"/>
        <v>0.46928499999999995</v>
      </c>
      <c r="W14" s="2">
        <f t="shared" si="2"/>
        <v>0.46928499999999995</v>
      </c>
      <c r="X14" s="2"/>
      <c r="Y14" s="2">
        <f t="shared" si="3"/>
        <v>0.47922099999999995</v>
      </c>
    </row>
    <row r="15" spans="1:25" ht="16" x14ac:dyDescent="0.2">
      <c r="A15" s="50"/>
      <c r="B15" s="26" t="s">
        <v>25</v>
      </c>
      <c r="C15" s="29">
        <v>1</v>
      </c>
      <c r="E15" s="20">
        <v>0.755</v>
      </c>
      <c r="F15" s="20">
        <v>0.4</v>
      </c>
      <c r="G15" s="18">
        <v>0.35</v>
      </c>
      <c r="H15" s="18">
        <v>0.83750000000000002</v>
      </c>
      <c r="I15" s="18">
        <v>0.38</v>
      </c>
      <c r="J15" s="18">
        <v>0.755</v>
      </c>
      <c r="K15" s="18">
        <v>0.4</v>
      </c>
      <c r="L15" s="18">
        <v>0.35</v>
      </c>
      <c r="M15" s="18">
        <v>0.83750000000000002</v>
      </c>
      <c r="N15" s="18">
        <v>0.38</v>
      </c>
      <c r="O15" s="18">
        <v>0.755</v>
      </c>
      <c r="P15" s="18">
        <v>0.4</v>
      </c>
      <c r="Q15" s="18">
        <v>0.35</v>
      </c>
      <c r="R15" s="20">
        <v>1</v>
      </c>
      <c r="S15" s="18">
        <v>0.38</v>
      </c>
      <c r="U15" s="21">
        <f t="shared" si="0"/>
        <v>0.60338750000000008</v>
      </c>
      <c r="V15" s="2">
        <f t="shared" si="1"/>
        <v>0.60338750000000008</v>
      </c>
      <c r="W15" s="2">
        <f t="shared" si="2"/>
        <v>0.62955000000000005</v>
      </c>
      <c r="X15" s="2"/>
      <c r="Y15" s="2">
        <f t="shared" si="3"/>
        <v>0.60992812500000004</v>
      </c>
    </row>
    <row r="16" spans="1:25" ht="16" x14ac:dyDescent="0.2">
      <c r="A16" s="50"/>
      <c r="B16" s="26" t="s">
        <v>26</v>
      </c>
      <c r="C16" s="29">
        <v>1</v>
      </c>
      <c r="E16" s="18">
        <v>0.3</v>
      </c>
      <c r="F16" s="20">
        <v>0.82</v>
      </c>
      <c r="G16" s="18">
        <v>0.77249999999999996</v>
      </c>
      <c r="H16" s="18">
        <v>0.45</v>
      </c>
      <c r="I16" s="18">
        <v>0.38</v>
      </c>
      <c r="J16" s="18">
        <v>0.3</v>
      </c>
      <c r="K16" s="18">
        <v>0.82</v>
      </c>
      <c r="L16" s="20">
        <v>1</v>
      </c>
      <c r="M16" s="18">
        <v>0.45</v>
      </c>
      <c r="N16" s="18">
        <v>0.38</v>
      </c>
      <c r="O16" s="18">
        <v>0.3</v>
      </c>
      <c r="P16" s="18">
        <v>0.82</v>
      </c>
      <c r="Q16" s="18">
        <v>0.77249999999999996</v>
      </c>
      <c r="R16" s="18">
        <v>0.45</v>
      </c>
      <c r="S16" s="18">
        <v>0.38</v>
      </c>
      <c r="U16" s="21">
        <f t="shared" si="0"/>
        <v>0.46928499999999995</v>
      </c>
      <c r="V16" s="2">
        <f t="shared" si="1"/>
        <v>0.49795</v>
      </c>
      <c r="W16" s="2">
        <f t="shared" si="2"/>
        <v>0.46928499999999995</v>
      </c>
      <c r="X16" s="2"/>
      <c r="Y16" s="2">
        <f t="shared" si="3"/>
        <v>0.47931774999999993</v>
      </c>
    </row>
    <row r="17" spans="1:33" ht="16" x14ac:dyDescent="0.2">
      <c r="A17" s="50"/>
      <c r="B17" s="26" t="s">
        <v>27</v>
      </c>
      <c r="C17" s="28">
        <v>0</v>
      </c>
      <c r="E17" s="18">
        <v>0.3</v>
      </c>
      <c r="F17" s="20">
        <v>0.82</v>
      </c>
      <c r="G17" s="18">
        <v>0.35</v>
      </c>
      <c r="H17" s="18">
        <v>0.45</v>
      </c>
      <c r="I17" s="18">
        <v>0.38</v>
      </c>
      <c r="J17" s="18">
        <v>0.3</v>
      </c>
      <c r="K17" s="18">
        <v>0.82</v>
      </c>
      <c r="L17" s="18">
        <v>0.35</v>
      </c>
      <c r="M17" s="18">
        <v>0.45</v>
      </c>
      <c r="N17" s="18">
        <v>0.38</v>
      </c>
      <c r="O17" s="18">
        <v>0.3</v>
      </c>
      <c r="P17" s="18">
        <v>0.82</v>
      </c>
      <c r="Q17" s="18">
        <v>0.35</v>
      </c>
      <c r="R17" s="18">
        <v>0.45</v>
      </c>
      <c r="S17" s="18">
        <v>0.38</v>
      </c>
      <c r="U17" s="21">
        <f t="shared" si="0"/>
        <v>0.41605000000000003</v>
      </c>
      <c r="V17" s="2">
        <f t="shared" si="1"/>
        <v>0.41605000000000003</v>
      </c>
      <c r="W17" s="2">
        <f t="shared" si="2"/>
        <v>0.41605000000000003</v>
      </c>
      <c r="X17" s="2"/>
      <c r="Y17" s="2">
        <f t="shared" si="3"/>
        <v>0.41605000000000003</v>
      </c>
    </row>
    <row r="18" spans="1:33" ht="16" x14ac:dyDescent="0.2">
      <c r="A18" s="50"/>
      <c r="B18" s="26" t="s">
        <v>28</v>
      </c>
      <c r="C18" s="28">
        <v>0</v>
      </c>
      <c r="E18" s="18">
        <v>0.3</v>
      </c>
      <c r="F18" s="20">
        <v>0.82</v>
      </c>
      <c r="G18" s="18">
        <v>0.35</v>
      </c>
      <c r="H18" s="18">
        <v>0.45</v>
      </c>
      <c r="I18" s="18">
        <v>0.38</v>
      </c>
      <c r="J18" s="18">
        <v>0.3</v>
      </c>
      <c r="K18" s="18">
        <v>0.82</v>
      </c>
      <c r="L18" s="18">
        <v>0.35</v>
      </c>
      <c r="M18" s="18">
        <v>0.45</v>
      </c>
      <c r="N18" s="18">
        <v>0.38</v>
      </c>
      <c r="O18" s="18">
        <v>0.3</v>
      </c>
      <c r="P18" s="18">
        <v>0.82</v>
      </c>
      <c r="Q18" s="18">
        <v>0.35</v>
      </c>
      <c r="R18" s="18">
        <v>0.45</v>
      </c>
      <c r="S18" s="18">
        <v>0.38</v>
      </c>
      <c r="U18" s="21">
        <f t="shared" si="0"/>
        <v>0.41605000000000003</v>
      </c>
      <c r="V18" s="2">
        <f t="shared" si="1"/>
        <v>0.41605000000000003</v>
      </c>
      <c r="W18" s="2">
        <f t="shared" si="2"/>
        <v>0.41605000000000003</v>
      </c>
      <c r="X18" s="2"/>
      <c r="Y18" s="2">
        <f t="shared" si="3"/>
        <v>0.41605000000000003</v>
      </c>
    </row>
    <row r="19" spans="1:33" x14ac:dyDescent="0.2">
      <c r="A19" s="17"/>
      <c r="B19" s="10" t="s">
        <v>29</v>
      </c>
      <c r="C19" s="15">
        <f>SUMPRODUCT(C5:C18,W5:W18)</f>
        <v>5.0646264000000007</v>
      </c>
      <c r="E19" s="2"/>
      <c r="F19" s="2"/>
      <c r="G19" s="2"/>
      <c r="H19" s="2"/>
      <c r="I19" s="2"/>
      <c r="J19" s="2"/>
      <c r="K19" s="2"/>
      <c r="L19" s="2"/>
      <c r="U19" s="16"/>
      <c r="V19" s="16"/>
      <c r="W19" s="16"/>
      <c r="X19" s="2"/>
      <c r="Z19" s="2"/>
    </row>
    <row r="20" spans="1:33" x14ac:dyDescent="0.2">
      <c r="X20" s="2"/>
    </row>
    <row r="21" spans="1:33" x14ac:dyDescent="0.2">
      <c r="B21" s="11" t="s">
        <v>30</v>
      </c>
      <c r="C21" s="3" t="s">
        <v>31</v>
      </c>
      <c r="D21" s="23" t="s">
        <v>32</v>
      </c>
      <c r="E21" s="23" t="s">
        <v>33</v>
      </c>
      <c r="F21" s="23" t="s">
        <v>34</v>
      </c>
      <c r="G21" s="23" t="s">
        <v>35</v>
      </c>
      <c r="H21" s="23" t="s">
        <v>36</v>
      </c>
      <c r="X21" s="2"/>
    </row>
    <row r="22" spans="1:33" ht="16" x14ac:dyDescent="0.2">
      <c r="B22" t="s">
        <v>8</v>
      </c>
      <c r="C22" s="33">
        <v>0.40200000000000002</v>
      </c>
      <c r="D22" s="34">
        <v>0.6</v>
      </c>
      <c r="E22" s="34">
        <v>0.35</v>
      </c>
      <c r="F22" s="34">
        <v>0.26600000000000001</v>
      </c>
      <c r="G22" s="34">
        <v>0.22500000000000001</v>
      </c>
      <c r="H22" s="34">
        <v>0.2</v>
      </c>
      <c r="AD22" s="2"/>
    </row>
    <row r="23" spans="1:33" ht="16" x14ac:dyDescent="0.2">
      <c r="B23" t="s">
        <v>9</v>
      </c>
      <c r="C23" s="33">
        <v>0.13800000000000001</v>
      </c>
      <c r="D23" s="34">
        <v>0.1</v>
      </c>
      <c r="E23" s="34">
        <v>0.1</v>
      </c>
      <c r="F23" s="34">
        <v>0.1</v>
      </c>
      <c r="G23" s="34">
        <v>0.22500000000000001</v>
      </c>
      <c r="H23" s="34">
        <v>0.2</v>
      </c>
      <c r="AD23" s="2"/>
    </row>
    <row r="24" spans="1:33" ht="16" x14ac:dyDescent="0.2">
      <c r="B24" t="s">
        <v>10</v>
      </c>
      <c r="C24" s="33">
        <v>0.126</v>
      </c>
      <c r="D24" s="34">
        <v>0.1</v>
      </c>
      <c r="E24" s="34">
        <v>0.1</v>
      </c>
      <c r="F24" s="34">
        <v>0.1</v>
      </c>
      <c r="G24" s="34">
        <v>0.1</v>
      </c>
      <c r="H24" s="34">
        <v>0.2</v>
      </c>
      <c r="AD24" s="2"/>
    </row>
    <row r="25" spans="1:33" ht="16" x14ac:dyDescent="0.2">
      <c r="B25" t="s">
        <v>11</v>
      </c>
      <c r="C25" s="33">
        <v>0.161</v>
      </c>
      <c r="D25" s="34">
        <v>0.1</v>
      </c>
      <c r="E25" s="34">
        <v>0.1</v>
      </c>
      <c r="F25" s="34">
        <v>0.26700000000000002</v>
      </c>
      <c r="G25" s="34">
        <v>0.22500000000000001</v>
      </c>
      <c r="H25" s="34">
        <v>0.2</v>
      </c>
    </row>
    <row r="26" spans="1:33" ht="16" x14ac:dyDescent="0.2">
      <c r="B26" t="s">
        <v>12</v>
      </c>
      <c r="C26" s="33">
        <v>0.17299999999999999</v>
      </c>
      <c r="D26" s="34">
        <v>0.1</v>
      </c>
      <c r="E26" s="34">
        <v>0.35</v>
      </c>
      <c r="F26" s="34">
        <v>0.26700000000000002</v>
      </c>
      <c r="G26" s="34">
        <v>0.22500000000000001</v>
      </c>
      <c r="H26" s="34">
        <v>0.2</v>
      </c>
    </row>
    <row r="28" spans="1:33" x14ac:dyDescent="0.2">
      <c r="B28" s="11" t="s">
        <v>37</v>
      </c>
      <c r="C28" s="3" t="s">
        <v>38</v>
      </c>
      <c r="D28" s="23" t="s">
        <v>39</v>
      </c>
      <c r="E28" s="23" t="s">
        <v>40</v>
      </c>
      <c r="F28" s="23" t="s">
        <v>41</v>
      </c>
    </row>
    <row r="29" spans="1:33" ht="16" x14ac:dyDescent="0.2">
      <c r="B29" t="s">
        <v>3</v>
      </c>
      <c r="C29" s="34">
        <v>0.4</v>
      </c>
      <c r="D29" s="34">
        <v>0.8</v>
      </c>
      <c r="E29" s="34">
        <v>0.45</v>
      </c>
      <c r="F29" s="34">
        <v>0.33400000000000002</v>
      </c>
      <c r="J29" s="22"/>
      <c r="K29" s="2"/>
      <c r="M29" s="20"/>
      <c r="N29" s="20"/>
      <c r="O29" s="18"/>
      <c r="P29" s="18"/>
      <c r="Q29" s="20"/>
      <c r="R29" s="18"/>
      <c r="S29" s="18"/>
      <c r="T29" s="18"/>
      <c r="U29" s="18"/>
      <c r="V29" s="18"/>
      <c r="W29" s="18"/>
      <c r="X29" s="18"/>
      <c r="Y29" s="18"/>
      <c r="Z29" s="18"/>
      <c r="AA29" s="18"/>
      <c r="AC29" s="2"/>
      <c r="AD29" s="2"/>
      <c r="AE29" s="2"/>
      <c r="AF29" s="2"/>
      <c r="AG29" s="2"/>
    </row>
    <row r="30" spans="1:33" ht="16" x14ac:dyDescent="0.2">
      <c r="B30" t="s">
        <v>4</v>
      </c>
      <c r="C30" s="34">
        <v>0.35</v>
      </c>
      <c r="D30" s="34">
        <v>0.1</v>
      </c>
      <c r="E30" s="34">
        <v>0.45</v>
      </c>
      <c r="F30" s="34">
        <v>0.33300000000000002</v>
      </c>
      <c r="J30" s="22"/>
      <c r="K30" s="2"/>
      <c r="M30" s="20"/>
      <c r="N30" s="20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C30" s="2"/>
      <c r="AD30" s="2"/>
      <c r="AE30" s="2"/>
      <c r="AG30" s="2"/>
    </row>
    <row r="31" spans="1:33" ht="16" x14ac:dyDescent="0.2">
      <c r="B31" t="s">
        <v>5</v>
      </c>
      <c r="C31" s="34">
        <v>0.25</v>
      </c>
      <c r="D31" s="34">
        <v>0.1</v>
      </c>
      <c r="E31" s="34">
        <v>0.1</v>
      </c>
      <c r="F31" s="34">
        <v>0.33300000000000002</v>
      </c>
      <c r="J31" s="22"/>
      <c r="K31" s="2"/>
      <c r="M31" s="20"/>
      <c r="N31" s="20"/>
      <c r="O31" s="18"/>
      <c r="P31" s="18"/>
      <c r="Q31" s="20"/>
      <c r="R31" s="18"/>
      <c r="S31" s="18"/>
      <c r="T31" s="20"/>
      <c r="U31" s="18"/>
      <c r="V31" s="20"/>
      <c r="W31" s="18"/>
      <c r="X31" s="18"/>
      <c r="Y31" s="18"/>
      <c r="Z31" s="18"/>
      <c r="AA31" s="20"/>
      <c r="AC31" s="2"/>
      <c r="AD31" s="2"/>
      <c r="AE31" s="2"/>
      <c r="AF31" s="2"/>
      <c r="AG31" s="2"/>
    </row>
    <row r="32" spans="1:33" ht="16" x14ac:dyDescent="0.2">
      <c r="J32" s="22"/>
      <c r="K32" s="2"/>
      <c r="M32" s="20"/>
      <c r="N32" s="20"/>
      <c r="O32" s="18"/>
      <c r="P32" s="18"/>
      <c r="Q32" s="20"/>
      <c r="R32" s="18"/>
      <c r="S32" s="18"/>
      <c r="T32" s="18"/>
      <c r="U32" s="18"/>
      <c r="V32" s="20"/>
      <c r="W32" s="18"/>
      <c r="X32" s="18"/>
      <c r="Y32" s="18"/>
      <c r="Z32" s="18"/>
      <c r="AA32" s="20"/>
      <c r="AC32" s="2"/>
      <c r="AD32" s="2"/>
      <c r="AE32" s="2"/>
      <c r="AF32" s="2"/>
      <c r="AG32" s="2"/>
    </row>
    <row r="33" spans="1:34" ht="16" x14ac:dyDescent="0.2">
      <c r="B33" s="11" t="s">
        <v>42</v>
      </c>
      <c r="C33" s="5"/>
      <c r="D33" s="5"/>
      <c r="E33" s="5" t="s">
        <v>43</v>
      </c>
      <c r="J33" s="22"/>
      <c r="K33" s="2"/>
      <c r="M33" s="18"/>
      <c r="N33" s="20"/>
      <c r="O33" s="18"/>
      <c r="P33" s="20"/>
      <c r="Q33" s="18"/>
      <c r="R33" s="18"/>
      <c r="S33" s="18"/>
      <c r="T33" s="18"/>
      <c r="U33" s="20"/>
      <c r="V33" s="18"/>
      <c r="W33" s="18"/>
      <c r="X33" s="18"/>
      <c r="Y33" s="18"/>
      <c r="Z33" s="20"/>
      <c r="AA33" s="18"/>
      <c r="AC33" s="2"/>
      <c r="AD33" s="2"/>
      <c r="AE33" s="2"/>
      <c r="AF33" s="2"/>
      <c r="AG33" s="2"/>
    </row>
    <row r="34" spans="1:34" ht="32" customHeight="1" x14ac:dyDescent="0.2">
      <c r="A34" s="12" t="s">
        <v>44</v>
      </c>
      <c r="B34" s="1" t="s">
        <v>45</v>
      </c>
      <c r="C34" s="14">
        <f>SUM(C5:C18)</f>
        <v>8</v>
      </c>
      <c r="D34" s="5" t="s">
        <v>46</v>
      </c>
      <c r="E34" s="14">
        <v>8</v>
      </c>
      <c r="J34" s="22"/>
      <c r="K34" s="2"/>
      <c r="M34" s="20"/>
      <c r="N34" s="20"/>
      <c r="O34" s="20"/>
      <c r="P34" s="18"/>
      <c r="Q34" s="18"/>
      <c r="R34" s="18"/>
      <c r="S34" s="18"/>
      <c r="T34" s="20"/>
      <c r="U34" s="18"/>
      <c r="V34" s="18"/>
      <c r="W34" s="18"/>
      <c r="X34" s="18"/>
      <c r="Y34" s="20"/>
      <c r="Z34" s="18"/>
      <c r="AA34" s="18"/>
      <c r="AC34" s="2"/>
      <c r="AD34" s="2"/>
      <c r="AE34" s="2"/>
      <c r="AF34" s="2"/>
      <c r="AG34" s="2"/>
    </row>
    <row r="35" spans="1:34" ht="48" x14ac:dyDescent="0.2">
      <c r="A35" s="44" t="s">
        <v>47</v>
      </c>
      <c r="B35" s="42" t="s">
        <v>48</v>
      </c>
      <c r="C35" s="14">
        <f>C18+C14</f>
        <v>0</v>
      </c>
      <c r="D35" s="5" t="s">
        <v>46</v>
      </c>
      <c r="E35" s="14">
        <v>1</v>
      </c>
      <c r="J35" s="22"/>
      <c r="K35" s="2"/>
      <c r="M35" s="18"/>
      <c r="N35" s="20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C35" s="2"/>
      <c r="AD35" s="2"/>
      <c r="AE35" s="2"/>
      <c r="AF35" s="2"/>
      <c r="AG35" s="2"/>
    </row>
    <row r="36" spans="1:34" ht="15" customHeight="1" x14ac:dyDescent="0.2">
      <c r="A36" s="44"/>
      <c r="B36" s="45" t="s">
        <v>49</v>
      </c>
      <c r="C36" s="52">
        <f>C13</f>
        <v>1</v>
      </c>
      <c r="D36" s="51" t="s">
        <v>50</v>
      </c>
      <c r="E36" s="52">
        <f>C15</f>
        <v>1</v>
      </c>
      <c r="J36" s="22"/>
      <c r="K36" s="2"/>
      <c r="M36" s="18"/>
      <c r="N36" s="20"/>
      <c r="O36" s="18"/>
      <c r="P36" s="20"/>
      <c r="Q36" s="18"/>
      <c r="R36" s="18"/>
      <c r="S36" s="18"/>
      <c r="T36" s="18"/>
      <c r="U36" s="20"/>
      <c r="V36" s="18"/>
      <c r="W36" s="18"/>
      <c r="X36" s="18"/>
      <c r="Y36" s="18"/>
      <c r="Z36" s="20"/>
      <c r="AA36" s="18"/>
      <c r="AC36" s="2"/>
      <c r="AD36" s="2"/>
      <c r="AE36" s="2"/>
      <c r="AF36" s="2"/>
      <c r="AG36" s="2"/>
    </row>
    <row r="37" spans="1:34" ht="28.25" customHeight="1" x14ac:dyDescent="0.2">
      <c r="A37" s="44"/>
      <c r="B37" s="46"/>
      <c r="C37" s="52"/>
      <c r="D37" s="51"/>
      <c r="E37" s="52"/>
      <c r="K37" s="2"/>
      <c r="M37" s="20"/>
      <c r="N37" s="20"/>
      <c r="O37" s="18"/>
      <c r="P37" s="18"/>
      <c r="Q37" s="18"/>
      <c r="R37" s="18"/>
      <c r="S37" s="18"/>
      <c r="T37" s="18"/>
      <c r="U37" s="18"/>
      <c r="V37" s="18"/>
      <c r="W37" s="20"/>
      <c r="X37" s="18"/>
      <c r="Y37" s="18"/>
      <c r="Z37" s="18"/>
      <c r="AA37" s="18"/>
      <c r="AC37" s="2"/>
      <c r="AD37" s="2"/>
      <c r="AE37" s="2"/>
      <c r="AF37" s="2"/>
      <c r="AG37" s="2"/>
    </row>
    <row r="38" spans="1:34" ht="32" customHeight="1" x14ac:dyDescent="0.2">
      <c r="B38" s="19" t="s">
        <v>51</v>
      </c>
      <c r="C38" s="14">
        <f>C10</f>
        <v>1</v>
      </c>
      <c r="D38" s="5" t="s">
        <v>46</v>
      </c>
      <c r="E38" s="14">
        <f>C8</f>
        <v>1</v>
      </c>
      <c r="K38" s="2"/>
      <c r="M38" s="18"/>
      <c r="N38" s="20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C38" s="2"/>
      <c r="AD38" s="2"/>
      <c r="AE38" s="2"/>
      <c r="AF38" s="2"/>
      <c r="AG38" s="2"/>
    </row>
    <row r="39" spans="1:34" ht="16" x14ac:dyDescent="0.2">
      <c r="A39" s="12" t="s">
        <v>52</v>
      </c>
      <c r="B39" t="s">
        <v>53</v>
      </c>
      <c r="C39" s="2">
        <f>SUM(C5:C12)</f>
        <v>5</v>
      </c>
      <c r="D39" s="2" t="s">
        <v>54</v>
      </c>
      <c r="E39" s="2">
        <f>0.25*E34</f>
        <v>2</v>
      </c>
      <c r="K39" s="2"/>
      <c r="M39" s="20"/>
      <c r="N39" s="20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0"/>
      <c r="AA39" s="18"/>
      <c r="AC39" s="2"/>
      <c r="AD39" s="2"/>
      <c r="AE39" s="2"/>
      <c r="AF39" s="2"/>
      <c r="AG39" s="2"/>
    </row>
    <row r="40" spans="1:34" ht="16" x14ac:dyDescent="0.2">
      <c r="C40" s="2">
        <f>SUM(C13:C18)</f>
        <v>3</v>
      </c>
      <c r="D40" s="2" t="s">
        <v>54</v>
      </c>
      <c r="E40" s="2">
        <f>0.25*E34</f>
        <v>2</v>
      </c>
      <c r="K40" s="2"/>
      <c r="M40" s="18"/>
      <c r="N40" s="20"/>
      <c r="O40" s="18"/>
      <c r="P40" s="18"/>
      <c r="Q40" s="18"/>
      <c r="R40" s="18"/>
      <c r="S40" s="18"/>
      <c r="T40" s="20"/>
      <c r="U40" s="18"/>
      <c r="V40" s="18"/>
      <c r="W40" s="18"/>
      <c r="X40" s="18"/>
      <c r="Y40" s="18"/>
      <c r="Z40" s="18"/>
      <c r="AA40" s="18"/>
      <c r="AC40" s="2"/>
      <c r="AD40" s="2"/>
      <c r="AE40" s="2"/>
      <c r="AF40" s="2"/>
      <c r="AG40" s="2"/>
    </row>
    <row r="41" spans="1:34" ht="16" customHeight="1" x14ac:dyDescent="0.2">
      <c r="B41" t="s">
        <v>55</v>
      </c>
      <c r="C41" s="2">
        <f>SUM(C5:C12)</f>
        <v>5</v>
      </c>
      <c r="D41" s="2" t="s">
        <v>46</v>
      </c>
      <c r="E41" s="2">
        <v>5</v>
      </c>
      <c r="K41" s="2"/>
      <c r="M41" s="18"/>
      <c r="N41" s="20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3"/>
      <c r="AB41" s="3"/>
      <c r="AC41" s="3"/>
      <c r="AD41" s="3"/>
      <c r="AE41" s="3"/>
      <c r="AF41" s="3"/>
      <c r="AG41" s="3"/>
      <c r="AH41" s="3"/>
    </row>
    <row r="42" spans="1:34" ht="16" customHeight="1" x14ac:dyDescent="0.2">
      <c r="C42" s="2">
        <f>SUM(C13:C18)</f>
        <v>3</v>
      </c>
      <c r="D42" s="2" t="s">
        <v>46</v>
      </c>
      <c r="E42" s="2">
        <v>5</v>
      </c>
      <c r="K42" s="2"/>
      <c r="M42" s="18"/>
      <c r="N42" s="20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3"/>
      <c r="AB42" s="3"/>
      <c r="AC42" s="3"/>
      <c r="AD42" s="3"/>
      <c r="AE42" s="3"/>
      <c r="AF42" s="3"/>
      <c r="AG42" s="3"/>
      <c r="AH42" s="3"/>
    </row>
    <row r="43" spans="1:34" x14ac:dyDescent="0.2">
      <c r="AA43" s="3"/>
      <c r="AB43" s="3"/>
      <c r="AC43" s="3"/>
      <c r="AD43" s="3"/>
      <c r="AE43" s="3"/>
      <c r="AF43" s="3"/>
      <c r="AG43" s="3"/>
      <c r="AH43" s="3"/>
    </row>
    <row r="44" spans="1:34" ht="19" customHeight="1" x14ac:dyDescent="0.2">
      <c r="AA44" s="3"/>
      <c r="AB44" s="3"/>
      <c r="AC44" s="3"/>
      <c r="AD44" s="3"/>
      <c r="AE44" s="3"/>
      <c r="AF44" s="3"/>
      <c r="AG44" s="3"/>
      <c r="AH44" s="3"/>
    </row>
    <row r="45" spans="1:34" ht="20" customHeight="1" x14ac:dyDescent="0.25">
      <c r="B45" s="27" t="s">
        <v>56</v>
      </c>
      <c r="E45" s="13" t="s">
        <v>57</v>
      </c>
      <c r="F45" s="23" t="s">
        <v>58</v>
      </c>
      <c r="G45" s="23" t="s">
        <v>59</v>
      </c>
      <c r="H45" s="23" t="s">
        <v>60</v>
      </c>
      <c r="I45" s="23" t="s">
        <v>61</v>
      </c>
      <c r="J45" s="23" t="s">
        <v>62</v>
      </c>
      <c r="K45" s="23" t="s">
        <v>63</v>
      </c>
      <c r="L45" s="23" t="s">
        <v>64</v>
      </c>
      <c r="M45" s="23" t="s">
        <v>65</v>
      </c>
      <c r="N45" s="23" t="s">
        <v>66</v>
      </c>
      <c r="O45" s="23" t="s">
        <v>67</v>
      </c>
      <c r="P45" s="23" t="s">
        <v>68</v>
      </c>
      <c r="Q45" s="23" t="s">
        <v>69</v>
      </c>
      <c r="R45" s="23" t="s">
        <v>70</v>
      </c>
      <c r="S45" s="23" t="s">
        <v>71</v>
      </c>
      <c r="T45" s="23" t="s">
        <v>72</v>
      </c>
      <c r="U45" s="23" t="s">
        <v>73</v>
      </c>
      <c r="AA45" s="3"/>
      <c r="AB45" s="3"/>
      <c r="AC45" s="3"/>
      <c r="AD45" s="3"/>
      <c r="AE45" s="3"/>
      <c r="AF45" s="3"/>
      <c r="AG45" s="3"/>
      <c r="AH45" s="3"/>
    </row>
    <row r="46" spans="1:34" ht="16" customHeight="1" x14ac:dyDescent="0.2">
      <c r="B46" s="37" t="s">
        <v>14</v>
      </c>
      <c r="C46" s="2"/>
      <c r="D46" s="2"/>
      <c r="E46" s="2"/>
      <c r="F46" s="28">
        <v>0</v>
      </c>
      <c r="G46" s="25">
        <v>0</v>
      </c>
      <c r="H46" s="25">
        <v>1</v>
      </c>
      <c r="I46" s="25">
        <v>0</v>
      </c>
      <c r="J46" s="25">
        <v>0</v>
      </c>
      <c r="K46" s="25">
        <v>0</v>
      </c>
      <c r="L46" s="25">
        <v>0</v>
      </c>
      <c r="M46" s="25">
        <v>1</v>
      </c>
      <c r="N46" s="25">
        <v>0</v>
      </c>
      <c r="O46" s="25">
        <v>0</v>
      </c>
      <c r="P46" s="25">
        <v>0</v>
      </c>
      <c r="Q46" s="25">
        <v>0</v>
      </c>
      <c r="R46" s="25">
        <v>1</v>
      </c>
      <c r="S46" s="25">
        <v>0</v>
      </c>
      <c r="T46" s="25">
        <v>0</v>
      </c>
      <c r="U46" s="25">
        <v>0</v>
      </c>
      <c r="V46" s="2">
        <f>SUM(G46:U46)</f>
        <v>3</v>
      </c>
      <c r="AA46" s="3"/>
      <c r="AB46" s="3"/>
      <c r="AC46" s="3"/>
      <c r="AD46" s="3"/>
      <c r="AE46" s="3"/>
      <c r="AF46" s="3"/>
      <c r="AG46" s="3"/>
      <c r="AH46" s="3"/>
    </row>
    <row r="47" spans="1:34" x14ac:dyDescent="0.2">
      <c r="B47" s="38" t="s">
        <v>15</v>
      </c>
      <c r="C47" s="2"/>
      <c r="D47" s="2"/>
      <c r="E47" s="41"/>
      <c r="F47" s="29">
        <v>1</v>
      </c>
      <c r="G47" s="25">
        <v>1</v>
      </c>
      <c r="H47" s="25">
        <v>1</v>
      </c>
      <c r="I47" s="25">
        <v>1</v>
      </c>
      <c r="J47" s="25">
        <v>1</v>
      </c>
      <c r="K47" s="25">
        <v>1</v>
      </c>
      <c r="L47" s="25">
        <v>1</v>
      </c>
      <c r="M47" s="25">
        <v>1</v>
      </c>
      <c r="N47" s="25">
        <v>1</v>
      </c>
      <c r="O47" s="25">
        <v>1</v>
      </c>
      <c r="P47" s="25">
        <v>1</v>
      </c>
      <c r="Q47" s="25">
        <v>1</v>
      </c>
      <c r="R47" s="25">
        <v>1</v>
      </c>
      <c r="S47" s="25">
        <v>1</v>
      </c>
      <c r="T47" s="25">
        <v>1</v>
      </c>
      <c r="U47" s="25">
        <v>1</v>
      </c>
      <c r="V47" s="2">
        <f t="shared" ref="V47:V83" si="4">SUM(G47:U47)</f>
        <v>15</v>
      </c>
      <c r="AA47" s="3"/>
      <c r="AB47" s="3"/>
      <c r="AC47" s="3"/>
      <c r="AD47" s="3"/>
      <c r="AE47" s="3"/>
      <c r="AF47" s="3"/>
      <c r="AG47" s="3"/>
      <c r="AH47" s="3"/>
    </row>
    <row r="48" spans="1:34" x14ac:dyDescent="0.2">
      <c r="B48" s="38" t="s">
        <v>16</v>
      </c>
      <c r="C48" s="2"/>
      <c r="D48" s="2"/>
      <c r="E48" s="41"/>
      <c r="F48" s="29">
        <v>1</v>
      </c>
      <c r="G48" s="25">
        <v>1</v>
      </c>
      <c r="H48" s="25">
        <v>1</v>
      </c>
      <c r="I48" s="25">
        <v>1</v>
      </c>
      <c r="J48" s="25">
        <v>1</v>
      </c>
      <c r="K48" s="25">
        <v>1</v>
      </c>
      <c r="L48" s="25">
        <v>1</v>
      </c>
      <c r="M48" s="25">
        <v>1</v>
      </c>
      <c r="N48" s="25">
        <v>1</v>
      </c>
      <c r="O48" s="25">
        <v>1</v>
      </c>
      <c r="P48" s="25">
        <v>1</v>
      </c>
      <c r="Q48" s="25">
        <v>1</v>
      </c>
      <c r="R48" s="25">
        <v>1</v>
      </c>
      <c r="S48" s="25">
        <v>1</v>
      </c>
      <c r="T48" s="25">
        <v>1</v>
      </c>
      <c r="U48" s="25">
        <v>1</v>
      </c>
      <c r="V48" s="2">
        <f t="shared" si="4"/>
        <v>15</v>
      </c>
      <c r="AA48" s="3"/>
      <c r="AB48" s="3"/>
      <c r="AC48" s="3"/>
      <c r="AD48" s="3"/>
      <c r="AE48" s="3"/>
      <c r="AF48" s="3"/>
      <c r="AG48" s="3"/>
      <c r="AH48" s="3"/>
    </row>
    <row r="49" spans="2:34" x14ac:dyDescent="0.2">
      <c r="B49" s="38" t="s">
        <v>17</v>
      </c>
      <c r="C49" s="2"/>
      <c r="D49" s="2"/>
      <c r="E49" s="41"/>
      <c r="F49" s="29">
        <v>1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25">
        <v>1</v>
      </c>
      <c r="M49" s="25">
        <v>1</v>
      </c>
      <c r="N49" s="25">
        <v>1</v>
      </c>
      <c r="O49" s="25">
        <v>1</v>
      </c>
      <c r="P49" s="25">
        <v>1</v>
      </c>
      <c r="Q49" s="25">
        <v>1</v>
      </c>
      <c r="R49" s="25">
        <v>1</v>
      </c>
      <c r="S49" s="25">
        <v>1</v>
      </c>
      <c r="T49" s="25">
        <v>1</v>
      </c>
      <c r="U49" s="25">
        <v>1</v>
      </c>
      <c r="V49" s="2">
        <f t="shared" si="4"/>
        <v>15</v>
      </c>
      <c r="AA49" s="3"/>
      <c r="AB49" s="3"/>
      <c r="AC49" s="3"/>
      <c r="AD49" s="3"/>
      <c r="AE49" s="3"/>
      <c r="AF49" s="3"/>
      <c r="AG49" s="3"/>
      <c r="AH49" s="3"/>
    </row>
    <row r="50" spans="2:34" x14ac:dyDescent="0.2">
      <c r="B50" s="37" t="s">
        <v>18</v>
      </c>
      <c r="C50" s="2"/>
      <c r="D50" s="2"/>
      <c r="E50" s="2"/>
      <c r="F50" s="28">
        <v>0</v>
      </c>
      <c r="G50" s="25">
        <v>1</v>
      </c>
      <c r="H50" s="25">
        <v>0</v>
      </c>
      <c r="I50" s="25">
        <v>0</v>
      </c>
      <c r="J50" s="25">
        <v>0</v>
      </c>
      <c r="K50" s="25">
        <v>1</v>
      </c>
      <c r="L50" s="25">
        <v>1</v>
      </c>
      <c r="M50" s="25">
        <v>0</v>
      </c>
      <c r="N50" s="25">
        <v>0</v>
      </c>
      <c r="O50" s="25">
        <v>0</v>
      </c>
      <c r="P50" s="25">
        <v>1</v>
      </c>
      <c r="Q50" s="25">
        <v>1</v>
      </c>
      <c r="R50" s="25">
        <v>0</v>
      </c>
      <c r="S50" s="25">
        <v>0</v>
      </c>
      <c r="T50" s="25">
        <v>0</v>
      </c>
      <c r="U50" s="25">
        <v>1</v>
      </c>
      <c r="V50" s="2">
        <f t="shared" si="4"/>
        <v>6</v>
      </c>
      <c r="AA50" s="3"/>
      <c r="AB50" s="3"/>
      <c r="AC50" s="3"/>
      <c r="AD50" s="3"/>
      <c r="AE50" s="3"/>
      <c r="AF50" s="3"/>
      <c r="AG50" s="3"/>
      <c r="AH50" s="3"/>
    </row>
    <row r="51" spans="2:34" x14ac:dyDescent="0.2">
      <c r="B51" s="38" t="s">
        <v>19</v>
      </c>
      <c r="C51" s="2"/>
      <c r="D51" s="2"/>
      <c r="E51" s="41"/>
      <c r="F51" s="29">
        <v>1</v>
      </c>
      <c r="G51" s="25">
        <v>1</v>
      </c>
      <c r="H51" s="25">
        <v>1</v>
      </c>
      <c r="I51" s="25">
        <v>1</v>
      </c>
      <c r="J51" s="25">
        <v>1</v>
      </c>
      <c r="K51" s="25">
        <v>1</v>
      </c>
      <c r="L51" s="25">
        <v>1</v>
      </c>
      <c r="M51" s="25">
        <v>1</v>
      </c>
      <c r="N51" s="25">
        <v>1</v>
      </c>
      <c r="O51" s="25">
        <v>1</v>
      </c>
      <c r="P51" s="25">
        <v>1</v>
      </c>
      <c r="Q51" s="25">
        <v>1</v>
      </c>
      <c r="R51" s="25">
        <v>1</v>
      </c>
      <c r="S51" s="25">
        <v>1</v>
      </c>
      <c r="T51" s="25">
        <v>1</v>
      </c>
      <c r="U51" s="25">
        <v>1</v>
      </c>
      <c r="V51" s="2">
        <f t="shared" si="4"/>
        <v>15</v>
      </c>
      <c r="AA51" s="3"/>
      <c r="AB51" s="3"/>
      <c r="AC51" s="3"/>
      <c r="AD51" s="3"/>
      <c r="AE51" s="3"/>
      <c r="AF51" s="3"/>
      <c r="AG51" s="3"/>
      <c r="AH51" s="3"/>
    </row>
    <row r="52" spans="2:34" x14ac:dyDescent="0.2">
      <c r="B52" s="37" t="s">
        <v>20</v>
      </c>
      <c r="C52" s="2"/>
      <c r="D52" s="2"/>
      <c r="E52" s="41"/>
      <c r="F52" s="29">
        <v>1</v>
      </c>
      <c r="G52" s="25">
        <v>0</v>
      </c>
      <c r="H52" s="25">
        <v>0</v>
      </c>
      <c r="I52" s="25">
        <v>1</v>
      </c>
      <c r="J52" s="25">
        <v>1</v>
      </c>
      <c r="K52" s="25">
        <v>0</v>
      </c>
      <c r="L52" s="25">
        <v>0</v>
      </c>
      <c r="M52" s="25">
        <v>0</v>
      </c>
      <c r="N52" s="25">
        <v>1</v>
      </c>
      <c r="O52" s="25">
        <v>1</v>
      </c>
      <c r="P52" s="25">
        <v>0</v>
      </c>
      <c r="Q52" s="25">
        <v>0</v>
      </c>
      <c r="R52" s="25">
        <v>0</v>
      </c>
      <c r="S52" s="25">
        <v>1</v>
      </c>
      <c r="T52" s="25">
        <v>1</v>
      </c>
      <c r="U52" s="25">
        <v>0</v>
      </c>
      <c r="V52" s="2">
        <f t="shared" si="4"/>
        <v>6</v>
      </c>
      <c r="AA52" s="3"/>
      <c r="AB52" s="3"/>
      <c r="AC52" s="3"/>
      <c r="AD52" s="3"/>
      <c r="AE52" s="3"/>
      <c r="AF52" s="3"/>
      <c r="AG52" s="3"/>
      <c r="AH52" s="3"/>
    </row>
    <row r="53" spans="2:34" ht="16" customHeight="1" x14ac:dyDescent="0.2">
      <c r="B53" s="36" t="s">
        <v>21</v>
      </c>
      <c r="C53" s="2"/>
      <c r="D53" s="2"/>
      <c r="E53" s="2"/>
      <c r="F53" s="28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">
        <f t="shared" si="4"/>
        <v>0</v>
      </c>
      <c r="AA53" s="3"/>
      <c r="AB53" s="3"/>
      <c r="AC53" s="3"/>
      <c r="AD53" s="3"/>
      <c r="AE53" s="3"/>
      <c r="AF53" s="3"/>
      <c r="AG53" s="3"/>
      <c r="AH53" s="3"/>
    </row>
    <row r="54" spans="2:34" ht="16" customHeight="1" x14ac:dyDescent="0.2">
      <c r="B54" s="38" t="s">
        <v>23</v>
      </c>
      <c r="C54" s="2"/>
      <c r="D54" s="2"/>
      <c r="E54" s="2"/>
      <c r="F54" s="29">
        <v>1</v>
      </c>
      <c r="G54" s="25">
        <v>1</v>
      </c>
      <c r="H54" s="25">
        <v>1</v>
      </c>
      <c r="I54" s="25">
        <v>1</v>
      </c>
      <c r="J54" s="25">
        <v>1</v>
      </c>
      <c r="K54" s="25">
        <v>1</v>
      </c>
      <c r="L54" s="25">
        <v>1</v>
      </c>
      <c r="M54" s="25">
        <v>1</v>
      </c>
      <c r="N54" s="25">
        <v>1</v>
      </c>
      <c r="O54" s="25">
        <v>1</v>
      </c>
      <c r="P54" s="25">
        <v>1</v>
      </c>
      <c r="Q54" s="25">
        <v>1</v>
      </c>
      <c r="R54" s="25">
        <v>1</v>
      </c>
      <c r="S54" s="25">
        <v>1</v>
      </c>
      <c r="T54" s="25">
        <v>1</v>
      </c>
      <c r="U54" s="25">
        <v>1</v>
      </c>
      <c r="V54" s="2">
        <f t="shared" si="4"/>
        <v>15</v>
      </c>
      <c r="AA54" s="3"/>
      <c r="AB54" s="3"/>
      <c r="AC54" s="3"/>
      <c r="AD54" s="3"/>
      <c r="AE54" s="3"/>
      <c r="AF54" s="3"/>
      <c r="AG54" s="3"/>
      <c r="AH54" s="3"/>
    </row>
    <row r="55" spans="2:34" x14ac:dyDescent="0.2">
      <c r="B55" s="36" t="s">
        <v>24</v>
      </c>
      <c r="C55" s="2"/>
      <c r="D55" s="2"/>
      <c r="E55" s="2"/>
      <c r="F55" s="29">
        <v>1</v>
      </c>
      <c r="G55" s="25">
        <v>1</v>
      </c>
      <c r="H55" s="25">
        <v>1</v>
      </c>
      <c r="I55" s="25">
        <v>1</v>
      </c>
      <c r="J55" s="25">
        <v>1</v>
      </c>
      <c r="K55" s="25">
        <v>1</v>
      </c>
      <c r="L55" s="25">
        <v>1</v>
      </c>
      <c r="M55" s="25">
        <v>1</v>
      </c>
      <c r="N55" s="25">
        <v>1</v>
      </c>
      <c r="O55" s="25">
        <v>1</v>
      </c>
      <c r="P55" s="25">
        <v>1</v>
      </c>
      <c r="Q55" s="25">
        <v>1</v>
      </c>
      <c r="R55" s="25">
        <v>1</v>
      </c>
      <c r="S55" s="25">
        <v>1</v>
      </c>
      <c r="T55" s="25">
        <v>1</v>
      </c>
      <c r="U55" s="25">
        <v>1</v>
      </c>
      <c r="V55" s="2">
        <f t="shared" si="4"/>
        <v>15</v>
      </c>
      <c r="AA55" s="3"/>
      <c r="AB55" s="3"/>
      <c r="AC55" s="3"/>
      <c r="AD55" s="3"/>
      <c r="AE55" s="3"/>
      <c r="AF55" s="3"/>
      <c r="AG55" s="3"/>
      <c r="AH55" s="3"/>
    </row>
    <row r="56" spans="2:34" x14ac:dyDescent="0.2">
      <c r="B56" s="38" t="s">
        <v>25</v>
      </c>
      <c r="C56" s="2"/>
      <c r="D56" s="2"/>
      <c r="E56" s="41"/>
      <c r="F56" s="29">
        <v>1</v>
      </c>
      <c r="G56" s="25">
        <v>1</v>
      </c>
      <c r="H56" s="25">
        <v>1</v>
      </c>
      <c r="I56" s="25">
        <v>1</v>
      </c>
      <c r="J56" s="25">
        <v>1</v>
      </c>
      <c r="K56" s="25">
        <v>1</v>
      </c>
      <c r="L56" s="25">
        <v>1</v>
      </c>
      <c r="M56" s="25">
        <v>1</v>
      </c>
      <c r="N56" s="25">
        <v>1</v>
      </c>
      <c r="O56" s="25">
        <v>1</v>
      </c>
      <c r="P56" s="25">
        <v>1</v>
      </c>
      <c r="Q56" s="25">
        <v>1</v>
      </c>
      <c r="R56" s="25">
        <v>1</v>
      </c>
      <c r="S56" s="25">
        <v>1</v>
      </c>
      <c r="T56" s="25">
        <v>1</v>
      </c>
      <c r="U56" s="25">
        <v>1</v>
      </c>
      <c r="V56" s="2">
        <f t="shared" si="4"/>
        <v>15</v>
      </c>
      <c r="AA56" s="3"/>
      <c r="AB56" s="3"/>
      <c r="AC56" s="3"/>
      <c r="AD56" s="3"/>
      <c r="AE56" s="3"/>
      <c r="AF56" s="3"/>
      <c r="AG56" s="3"/>
      <c r="AH56" s="3"/>
    </row>
    <row r="57" spans="2:34" x14ac:dyDescent="0.2">
      <c r="B57" s="38" t="s">
        <v>26</v>
      </c>
      <c r="C57" s="2"/>
      <c r="D57" s="2"/>
      <c r="E57" s="41"/>
      <c r="F57" s="28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">
        <f t="shared" si="4"/>
        <v>0</v>
      </c>
      <c r="AA57" s="3"/>
      <c r="AB57" s="3"/>
      <c r="AC57" s="3"/>
      <c r="AD57" s="3"/>
      <c r="AE57" s="3"/>
      <c r="AF57" s="3"/>
      <c r="AG57" s="3"/>
      <c r="AH57" s="3"/>
    </row>
    <row r="58" spans="2:34" x14ac:dyDescent="0.2">
      <c r="B58" s="36" t="s">
        <v>27</v>
      </c>
      <c r="C58" s="2"/>
      <c r="D58" s="2"/>
      <c r="E58" s="2"/>
      <c r="F58" s="28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">
        <f t="shared" si="4"/>
        <v>0</v>
      </c>
      <c r="AA58" s="3"/>
      <c r="AB58" s="3"/>
      <c r="AC58" s="3"/>
      <c r="AD58" s="3"/>
      <c r="AE58" s="3"/>
      <c r="AF58" s="3"/>
      <c r="AG58" s="3"/>
      <c r="AH58" s="3"/>
    </row>
    <row r="59" spans="2:34" x14ac:dyDescent="0.2">
      <c r="B59" s="36" t="s">
        <v>28</v>
      </c>
      <c r="C59" s="2"/>
      <c r="D59" s="2"/>
      <c r="E59" s="2"/>
      <c r="F59" s="28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">
        <f t="shared" si="4"/>
        <v>0</v>
      </c>
      <c r="AA59" s="3"/>
      <c r="AB59" s="3"/>
      <c r="AC59" s="3"/>
      <c r="AD59" s="3"/>
      <c r="AE59" s="3"/>
      <c r="AF59" s="3"/>
      <c r="AG59" s="3"/>
      <c r="AH59" s="3"/>
    </row>
    <row r="60" spans="2:34" ht="19" x14ac:dyDescent="0.25">
      <c r="B60" s="27" t="s">
        <v>56</v>
      </c>
      <c r="E60" s="13" t="s">
        <v>74</v>
      </c>
      <c r="F60" s="40" t="s">
        <v>58</v>
      </c>
      <c r="G60" s="23" t="s">
        <v>59</v>
      </c>
      <c r="H60" s="23" t="s">
        <v>60</v>
      </c>
      <c r="I60" s="23" t="s">
        <v>61</v>
      </c>
      <c r="J60" s="23" t="s">
        <v>62</v>
      </c>
      <c r="K60" s="23" t="s">
        <v>63</v>
      </c>
      <c r="L60" s="23" t="s">
        <v>64</v>
      </c>
      <c r="M60" s="23" t="s">
        <v>65</v>
      </c>
      <c r="N60" s="23" t="s">
        <v>66</v>
      </c>
      <c r="O60" s="23" t="s">
        <v>67</v>
      </c>
      <c r="P60" s="23" t="s">
        <v>68</v>
      </c>
      <c r="Q60" s="23" t="s">
        <v>69</v>
      </c>
      <c r="R60" s="23" t="s">
        <v>70</v>
      </c>
      <c r="S60" s="23" t="s">
        <v>71</v>
      </c>
      <c r="T60" s="23" t="s">
        <v>72</v>
      </c>
      <c r="U60" s="23" t="s">
        <v>73</v>
      </c>
      <c r="V60" s="2">
        <f t="shared" si="4"/>
        <v>0</v>
      </c>
      <c r="AA60" s="3"/>
      <c r="AB60" s="3"/>
      <c r="AC60" s="3"/>
      <c r="AD60" s="3"/>
      <c r="AE60" s="3"/>
      <c r="AF60" s="3"/>
      <c r="AG60" s="3"/>
      <c r="AH60" s="3"/>
    </row>
    <row r="61" spans="2:34" x14ac:dyDescent="0.2">
      <c r="B61" s="36" t="s">
        <v>14</v>
      </c>
      <c r="F61" s="28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">
        <f t="shared" si="4"/>
        <v>0</v>
      </c>
      <c r="AA61" s="3"/>
      <c r="AB61" s="3"/>
      <c r="AC61" s="3"/>
      <c r="AD61" s="3"/>
      <c r="AE61" s="3"/>
      <c r="AF61" s="3"/>
      <c r="AG61" s="3"/>
      <c r="AH61" s="3"/>
    </row>
    <row r="62" spans="2:34" x14ac:dyDescent="0.2">
      <c r="B62" s="39" t="s">
        <v>15</v>
      </c>
      <c r="F62" s="29">
        <v>1</v>
      </c>
      <c r="G62" s="25">
        <v>1</v>
      </c>
      <c r="H62" s="25">
        <v>1</v>
      </c>
      <c r="I62" s="25">
        <v>0</v>
      </c>
      <c r="J62" s="25">
        <v>1</v>
      </c>
      <c r="K62" s="25">
        <v>1</v>
      </c>
      <c r="L62" s="25">
        <v>1</v>
      </c>
      <c r="M62" s="25">
        <v>1</v>
      </c>
      <c r="N62" s="25">
        <v>0</v>
      </c>
      <c r="O62" s="25">
        <v>1</v>
      </c>
      <c r="P62" s="25">
        <v>1</v>
      </c>
      <c r="Q62" s="25">
        <v>1</v>
      </c>
      <c r="R62" s="25">
        <v>1</v>
      </c>
      <c r="S62" s="25">
        <v>0</v>
      </c>
      <c r="T62" s="25">
        <v>1</v>
      </c>
      <c r="U62" s="25">
        <v>1</v>
      </c>
      <c r="V62" s="2">
        <f t="shared" si="4"/>
        <v>12</v>
      </c>
      <c r="AA62" s="3"/>
      <c r="AB62" s="3"/>
      <c r="AC62" s="3"/>
      <c r="AD62" s="3"/>
      <c r="AE62" s="3"/>
      <c r="AF62" s="3"/>
      <c r="AG62" s="3"/>
      <c r="AH62" s="3"/>
    </row>
    <row r="63" spans="2:34" x14ac:dyDescent="0.2">
      <c r="B63" s="38" t="s">
        <v>16</v>
      </c>
      <c r="F63" s="29">
        <v>1</v>
      </c>
      <c r="G63" s="25">
        <v>1</v>
      </c>
      <c r="H63" s="25">
        <v>1</v>
      </c>
      <c r="I63" s="25">
        <v>1</v>
      </c>
      <c r="J63" s="25">
        <v>1</v>
      </c>
      <c r="K63" s="25">
        <v>1</v>
      </c>
      <c r="L63" s="25">
        <v>1</v>
      </c>
      <c r="M63" s="25">
        <v>1</v>
      </c>
      <c r="N63" s="25">
        <v>1</v>
      </c>
      <c r="O63" s="25">
        <v>1</v>
      </c>
      <c r="P63" s="25">
        <v>1</v>
      </c>
      <c r="Q63" s="25">
        <v>1</v>
      </c>
      <c r="R63" s="25">
        <v>1</v>
      </c>
      <c r="S63" s="25">
        <v>1</v>
      </c>
      <c r="T63" s="25">
        <v>1</v>
      </c>
      <c r="U63" s="25">
        <v>1</v>
      </c>
      <c r="V63" s="2">
        <f t="shared" si="4"/>
        <v>15</v>
      </c>
    </row>
    <row r="64" spans="2:34" x14ac:dyDescent="0.2">
      <c r="B64" s="38" t="s">
        <v>17</v>
      </c>
      <c r="F64" s="29">
        <v>1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25">
        <v>1</v>
      </c>
      <c r="M64" s="25">
        <v>1</v>
      </c>
      <c r="N64" s="25">
        <v>1</v>
      </c>
      <c r="O64" s="25">
        <v>1</v>
      </c>
      <c r="P64" s="25">
        <v>1</v>
      </c>
      <c r="Q64" s="25">
        <v>1</v>
      </c>
      <c r="R64" s="25">
        <v>1</v>
      </c>
      <c r="S64" s="25">
        <v>1</v>
      </c>
      <c r="T64" s="25">
        <v>1</v>
      </c>
      <c r="U64" s="25">
        <v>1</v>
      </c>
      <c r="V64" s="2">
        <f t="shared" si="4"/>
        <v>15</v>
      </c>
    </row>
    <row r="65" spans="2:22" x14ac:dyDescent="0.2">
      <c r="B65" s="36" t="s">
        <v>18</v>
      </c>
      <c r="F65" s="28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">
        <f t="shared" si="4"/>
        <v>0</v>
      </c>
    </row>
    <row r="66" spans="2:22" x14ac:dyDescent="0.2">
      <c r="B66" s="38" t="s">
        <v>19</v>
      </c>
      <c r="F66" s="29">
        <v>1</v>
      </c>
      <c r="G66" s="25">
        <v>1</v>
      </c>
      <c r="H66" s="25">
        <v>1</v>
      </c>
      <c r="I66" s="25">
        <v>1</v>
      </c>
      <c r="J66" s="25">
        <v>1</v>
      </c>
      <c r="K66" s="25">
        <v>1</v>
      </c>
      <c r="L66" s="25">
        <v>1</v>
      </c>
      <c r="M66" s="25">
        <v>1</v>
      </c>
      <c r="N66" s="25">
        <v>1</v>
      </c>
      <c r="O66" s="25">
        <v>1</v>
      </c>
      <c r="P66" s="25">
        <v>1</v>
      </c>
      <c r="Q66" s="25">
        <v>1</v>
      </c>
      <c r="R66" s="25">
        <v>1</v>
      </c>
      <c r="S66" s="25">
        <v>1</v>
      </c>
      <c r="T66" s="25">
        <v>1</v>
      </c>
      <c r="U66" s="25">
        <v>1</v>
      </c>
      <c r="V66" s="2">
        <f t="shared" si="4"/>
        <v>15</v>
      </c>
    </row>
    <row r="67" spans="2:22" x14ac:dyDescent="0.2">
      <c r="B67" s="37" t="s">
        <v>20</v>
      </c>
      <c r="F67" s="28">
        <v>0</v>
      </c>
      <c r="G67" s="25">
        <v>0</v>
      </c>
      <c r="H67" s="25">
        <v>0</v>
      </c>
      <c r="I67" s="25">
        <v>1</v>
      </c>
      <c r="J67" s="25">
        <v>0</v>
      </c>
      <c r="K67" s="25">
        <v>0</v>
      </c>
      <c r="L67" s="25">
        <v>0</v>
      </c>
      <c r="M67" s="25">
        <v>0</v>
      </c>
      <c r="N67" s="25">
        <v>1</v>
      </c>
      <c r="O67" s="25">
        <v>0</v>
      </c>
      <c r="P67" s="25">
        <v>0</v>
      </c>
      <c r="Q67" s="25">
        <v>0</v>
      </c>
      <c r="R67" s="25">
        <v>0</v>
      </c>
      <c r="S67" s="25">
        <v>1</v>
      </c>
      <c r="T67" s="25">
        <v>0</v>
      </c>
      <c r="U67" s="25">
        <v>0</v>
      </c>
      <c r="V67" s="2">
        <f t="shared" si="4"/>
        <v>3</v>
      </c>
    </row>
    <row r="68" spans="2:22" x14ac:dyDescent="0.2">
      <c r="B68" s="36" t="s">
        <v>21</v>
      </c>
      <c r="F68" s="28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">
        <f t="shared" si="4"/>
        <v>0</v>
      </c>
    </row>
    <row r="69" spans="2:22" x14ac:dyDescent="0.2">
      <c r="B69" s="38" t="s">
        <v>23</v>
      </c>
      <c r="F69" s="29">
        <v>1</v>
      </c>
      <c r="G69" s="25">
        <v>1</v>
      </c>
      <c r="H69" s="25">
        <v>1</v>
      </c>
      <c r="I69" s="25">
        <v>1</v>
      </c>
      <c r="J69" s="25">
        <v>1</v>
      </c>
      <c r="K69" s="25">
        <v>1</v>
      </c>
      <c r="L69" s="25">
        <v>1</v>
      </c>
      <c r="M69" s="25">
        <v>1</v>
      </c>
      <c r="N69" s="25">
        <v>1</v>
      </c>
      <c r="O69" s="25">
        <v>1</v>
      </c>
      <c r="P69" s="25">
        <v>1</v>
      </c>
      <c r="Q69" s="25">
        <v>1</v>
      </c>
      <c r="R69" s="25">
        <v>1</v>
      </c>
      <c r="S69" s="25">
        <v>1</v>
      </c>
      <c r="T69" s="25">
        <v>1</v>
      </c>
      <c r="U69" s="25">
        <v>1</v>
      </c>
      <c r="V69" s="2">
        <f t="shared" si="4"/>
        <v>15</v>
      </c>
    </row>
    <row r="70" spans="2:22" x14ac:dyDescent="0.2">
      <c r="B70" s="36" t="s">
        <v>24</v>
      </c>
      <c r="F70" s="28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">
        <f t="shared" si="4"/>
        <v>0</v>
      </c>
    </row>
    <row r="71" spans="2:22" x14ac:dyDescent="0.2">
      <c r="B71" s="38" t="s">
        <v>25</v>
      </c>
      <c r="F71" s="29">
        <v>1</v>
      </c>
      <c r="G71" s="25">
        <v>1</v>
      </c>
      <c r="H71" s="25">
        <v>1</v>
      </c>
      <c r="I71" s="25">
        <v>1</v>
      </c>
      <c r="J71" s="25">
        <v>1</v>
      </c>
      <c r="K71" s="25">
        <v>1</v>
      </c>
      <c r="L71" s="25">
        <v>1</v>
      </c>
      <c r="M71" s="25">
        <v>1</v>
      </c>
      <c r="N71" s="25">
        <v>1</v>
      </c>
      <c r="O71" s="25">
        <v>1</v>
      </c>
      <c r="P71" s="25">
        <v>1</v>
      </c>
      <c r="Q71" s="25">
        <v>1</v>
      </c>
      <c r="R71" s="25">
        <v>1</v>
      </c>
      <c r="S71" s="25">
        <v>1</v>
      </c>
      <c r="T71" s="25">
        <v>1</v>
      </c>
      <c r="U71" s="25">
        <v>1</v>
      </c>
      <c r="V71" s="2">
        <f t="shared" si="4"/>
        <v>15</v>
      </c>
    </row>
    <row r="72" spans="2:22" x14ac:dyDescent="0.2">
      <c r="B72" s="36" t="s">
        <v>26</v>
      </c>
      <c r="F72" s="28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">
        <f t="shared" si="4"/>
        <v>0</v>
      </c>
    </row>
    <row r="73" spans="2:22" x14ac:dyDescent="0.2">
      <c r="B73" s="36" t="s">
        <v>27</v>
      </c>
      <c r="F73" s="28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">
        <f t="shared" si="4"/>
        <v>0</v>
      </c>
    </row>
    <row r="74" spans="2:22" x14ac:dyDescent="0.2">
      <c r="B74" s="36" t="s">
        <v>28</v>
      </c>
      <c r="F74" s="28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">
        <f t="shared" si="4"/>
        <v>0</v>
      </c>
    </row>
    <row r="75" spans="2:22" ht="19" x14ac:dyDescent="0.25">
      <c r="B75" s="27" t="s">
        <v>56</v>
      </c>
      <c r="D75" s="13"/>
      <c r="E75" s="13" t="s">
        <v>75</v>
      </c>
      <c r="F75" s="40" t="s">
        <v>58</v>
      </c>
      <c r="G75" s="23" t="s">
        <v>59</v>
      </c>
      <c r="H75" s="23" t="s">
        <v>60</v>
      </c>
      <c r="I75" s="23" t="s">
        <v>61</v>
      </c>
      <c r="J75" s="23" t="s">
        <v>62</v>
      </c>
      <c r="K75" s="23" t="s">
        <v>63</v>
      </c>
      <c r="L75" s="23" t="s">
        <v>64</v>
      </c>
      <c r="M75" s="23" t="s">
        <v>65</v>
      </c>
      <c r="N75" s="23" t="s">
        <v>66</v>
      </c>
      <c r="O75" s="23" t="s">
        <v>67</v>
      </c>
      <c r="P75" s="23" t="s">
        <v>68</v>
      </c>
      <c r="Q75" s="23" t="s">
        <v>69</v>
      </c>
      <c r="R75" s="23" t="s">
        <v>70</v>
      </c>
      <c r="S75" s="23" t="s">
        <v>71</v>
      </c>
      <c r="T75" s="23" t="s">
        <v>72</v>
      </c>
      <c r="U75" s="23" t="s">
        <v>73</v>
      </c>
      <c r="V75" s="2">
        <f t="shared" si="4"/>
        <v>0</v>
      </c>
    </row>
    <row r="76" spans="2:22" x14ac:dyDescent="0.2">
      <c r="B76" s="36" t="s">
        <v>14</v>
      </c>
      <c r="F76" s="28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">
        <f t="shared" si="4"/>
        <v>0</v>
      </c>
    </row>
    <row r="77" spans="2:22" x14ac:dyDescent="0.2">
      <c r="B77" s="36" t="s">
        <v>15</v>
      </c>
      <c r="F77" s="29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">
        <f t="shared" si="4"/>
        <v>0</v>
      </c>
    </row>
    <row r="78" spans="2:22" x14ac:dyDescent="0.2">
      <c r="B78" s="38" t="s">
        <v>16</v>
      </c>
      <c r="F78" s="29">
        <v>1</v>
      </c>
      <c r="G78" s="25">
        <v>1</v>
      </c>
      <c r="H78" s="25">
        <v>1</v>
      </c>
      <c r="I78" s="25">
        <v>1</v>
      </c>
      <c r="J78" s="25">
        <v>1</v>
      </c>
      <c r="K78" s="25">
        <v>1</v>
      </c>
      <c r="L78" s="25">
        <v>1</v>
      </c>
      <c r="M78" s="25">
        <v>1</v>
      </c>
      <c r="N78" s="25">
        <v>1</v>
      </c>
      <c r="O78" s="25">
        <v>1</v>
      </c>
      <c r="P78" s="25">
        <v>1</v>
      </c>
      <c r="Q78" s="25">
        <v>1</v>
      </c>
      <c r="R78" s="25">
        <v>1</v>
      </c>
      <c r="S78" s="25">
        <v>1</v>
      </c>
      <c r="T78" s="25">
        <v>1</v>
      </c>
      <c r="U78" s="25">
        <v>1</v>
      </c>
      <c r="V78" s="2">
        <f t="shared" si="4"/>
        <v>15</v>
      </c>
    </row>
    <row r="79" spans="2:22" x14ac:dyDescent="0.2">
      <c r="B79" s="38" t="s">
        <v>17</v>
      </c>
      <c r="F79" s="29">
        <v>1</v>
      </c>
      <c r="G79" s="25">
        <v>1</v>
      </c>
      <c r="H79" s="25">
        <v>1</v>
      </c>
      <c r="I79" s="25">
        <v>1</v>
      </c>
      <c r="J79" s="25">
        <v>1</v>
      </c>
      <c r="K79" s="25">
        <v>1</v>
      </c>
      <c r="L79" s="25">
        <v>1</v>
      </c>
      <c r="M79" s="25">
        <v>1</v>
      </c>
      <c r="N79" s="25">
        <v>1</v>
      </c>
      <c r="O79" s="25">
        <v>1</v>
      </c>
      <c r="P79" s="25">
        <v>1</v>
      </c>
      <c r="Q79" s="25">
        <v>1</v>
      </c>
      <c r="R79" s="25">
        <v>1</v>
      </c>
      <c r="S79" s="25">
        <v>1</v>
      </c>
      <c r="T79" s="25">
        <v>1</v>
      </c>
      <c r="U79" s="25">
        <v>1</v>
      </c>
      <c r="V79" s="2">
        <f t="shared" si="4"/>
        <v>15</v>
      </c>
    </row>
    <row r="80" spans="2:22" x14ac:dyDescent="0.2">
      <c r="B80" s="36" t="s">
        <v>18</v>
      </c>
      <c r="F80" s="28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">
        <f t="shared" si="4"/>
        <v>0</v>
      </c>
    </row>
    <row r="81" spans="2:22" x14ac:dyDescent="0.2">
      <c r="B81" s="37" t="s">
        <v>19</v>
      </c>
      <c r="F81" s="29">
        <v>0</v>
      </c>
      <c r="G81" s="25">
        <v>0</v>
      </c>
      <c r="H81" s="25">
        <v>0</v>
      </c>
      <c r="I81" s="25">
        <v>0</v>
      </c>
      <c r="J81" s="25">
        <v>0</v>
      </c>
      <c r="K81" s="25">
        <v>1</v>
      </c>
      <c r="L81" s="25">
        <v>0</v>
      </c>
      <c r="M81" s="25">
        <v>0</v>
      </c>
      <c r="N81" s="25">
        <v>0</v>
      </c>
      <c r="O81" s="25">
        <v>0</v>
      </c>
      <c r="P81" s="25">
        <v>1</v>
      </c>
      <c r="Q81" s="25">
        <v>0</v>
      </c>
      <c r="R81" s="25">
        <v>0</v>
      </c>
      <c r="S81" s="25">
        <v>0</v>
      </c>
      <c r="T81" s="25">
        <v>0</v>
      </c>
      <c r="U81" s="25">
        <v>1</v>
      </c>
      <c r="V81" s="2">
        <f t="shared" si="4"/>
        <v>3</v>
      </c>
    </row>
    <row r="82" spans="2:22" x14ac:dyDescent="0.2">
      <c r="B82" s="36" t="s">
        <v>20</v>
      </c>
      <c r="F82" s="29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">
        <f t="shared" si="4"/>
        <v>0</v>
      </c>
    </row>
    <row r="83" spans="2:22" x14ac:dyDescent="0.2">
      <c r="B83" s="36" t="s">
        <v>21</v>
      </c>
      <c r="F83" s="28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">
        <f t="shared" si="4"/>
        <v>0</v>
      </c>
    </row>
    <row r="84" spans="2:22" x14ac:dyDescent="0.2">
      <c r="B84" s="39" t="s">
        <v>23</v>
      </c>
      <c r="F84" s="29">
        <v>1</v>
      </c>
      <c r="G84" s="25">
        <v>1</v>
      </c>
      <c r="H84" s="25">
        <v>1</v>
      </c>
      <c r="I84" s="25">
        <v>1</v>
      </c>
      <c r="J84" s="25">
        <v>1</v>
      </c>
      <c r="K84" s="25">
        <v>0</v>
      </c>
      <c r="L84" s="25">
        <v>1</v>
      </c>
      <c r="M84" s="25">
        <v>1</v>
      </c>
      <c r="N84" s="25">
        <v>1</v>
      </c>
      <c r="O84" s="25">
        <v>1</v>
      </c>
      <c r="P84" s="25">
        <v>0</v>
      </c>
      <c r="Q84" s="25">
        <v>1</v>
      </c>
      <c r="R84" s="25">
        <v>1</v>
      </c>
      <c r="S84" s="25">
        <v>1</v>
      </c>
      <c r="T84" s="25">
        <v>1</v>
      </c>
      <c r="U84" s="25">
        <v>0</v>
      </c>
      <c r="V84" s="2">
        <f t="shared" ref="V84:V89" si="5">SUM(G84:U84)</f>
        <v>12</v>
      </c>
    </row>
    <row r="85" spans="2:22" x14ac:dyDescent="0.2">
      <c r="B85" s="37" t="s">
        <v>24</v>
      </c>
      <c r="F85" s="28">
        <v>0</v>
      </c>
      <c r="G85" s="25">
        <v>0</v>
      </c>
      <c r="H85" s="25">
        <v>0</v>
      </c>
      <c r="I85" s="25">
        <v>0</v>
      </c>
      <c r="J85" s="25">
        <v>0</v>
      </c>
      <c r="K85" s="25">
        <v>1</v>
      </c>
      <c r="L85" s="25">
        <v>0</v>
      </c>
      <c r="M85" s="25">
        <v>0</v>
      </c>
      <c r="N85" s="25">
        <v>0</v>
      </c>
      <c r="O85" s="25">
        <v>0</v>
      </c>
      <c r="P85" s="25">
        <v>1</v>
      </c>
      <c r="Q85" s="25">
        <v>0</v>
      </c>
      <c r="R85" s="25">
        <v>0</v>
      </c>
      <c r="S85" s="25">
        <v>0</v>
      </c>
      <c r="T85" s="25">
        <v>0</v>
      </c>
      <c r="U85" s="25">
        <v>1</v>
      </c>
      <c r="V85" s="2">
        <f t="shared" si="5"/>
        <v>3</v>
      </c>
    </row>
    <row r="86" spans="2:22" x14ac:dyDescent="0.2">
      <c r="B86" s="39" t="s">
        <v>25</v>
      </c>
      <c r="F86" s="29">
        <v>1</v>
      </c>
      <c r="G86" s="25">
        <v>1</v>
      </c>
      <c r="H86" s="25">
        <v>1</v>
      </c>
      <c r="I86" s="25">
        <v>1</v>
      </c>
      <c r="J86" s="25">
        <v>1</v>
      </c>
      <c r="K86" s="25">
        <v>0</v>
      </c>
      <c r="L86" s="25">
        <v>1</v>
      </c>
      <c r="M86" s="25">
        <v>1</v>
      </c>
      <c r="N86" s="25">
        <v>1</v>
      </c>
      <c r="O86" s="25">
        <v>1</v>
      </c>
      <c r="P86" s="25">
        <v>0</v>
      </c>
      <c r="Q86" s="25">
        <v>1</v>
      </c>
      <c r="R86" s="25">
        <v>1</v>
      </c>
      <c r="S86" s="25">
        <v>1</v>
      </c>
      <c r="T86" s="25">
        <v>1</v>
      </c>
      <c r="U86" s="25">
        <v>0</v>
      </c>
      <c r="V86" s="2">
        <f t="shared" si="5"/>
        <v>12</v>
      </c>
    </row>
    <row r="87" spans="2:22" x14ac:dyDescent="0.2">
      <c r="B87" s="36" t="s">
        <v>26</v>
      </c>
      <c r="F87" s="29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">
        <f t="shared" si="5"/>
        <v>0</v>
      </c>
    </row>
    <row r="88" spans="2:22" x14ac:dyDescent="0.2">
      <c r="B88" s="36" t="s">
        <v>27</v>
      </c>
      <c r="F88" s="28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">
        <f t="shared" si="5"/>
        <v>0</v>
      </c>
    </row>
    <row r="89" spans="2:22" x14ac:dyDescent="0.2">
      <c r="B89" s="36" t="s">
        <v>28</v>
      </c>
      <c r="F89" s="28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">
        <f t="shared" si="5"/>
        <v>0</v>
      </c>
    </row>
  </sheetData>
  <mergeCells count="12">
    <mergeCell ref="U2:W2"/>
    <mergeCell ref="A35:A37"/>
    <mergeCell ref="B36:B37"/>
    <mergeCell ref="E3:I3"/>
    <mergeCell ref="J3:N3"/>
    <mergeCell ref="O3:S3"/>
    <mergeCell ref="E2:S2"/>
    <mergeCell ref="A5:A12"/>
    <mergeCell ref="A13:A18"/>
    <mergeCell ref="D36:D37"/>
    <mergeCell ref="C36:C37"/>
    <mergeCell ref="E36:E37"/>
  </mergeCells>
  <conditionalFormatting sqref="G46">
    <cfRule type="colorScale" priority="4">
      <colorScale>
        <cfvo type="num" val="0"/>
        <cfvo type="num" val="1"/>
        <color rgb="FFFF0000"/>
        <color rgb="FF92D050"/>
      </colorScale>
    </cfRule>
  </conditionalFormatting>
  <conditionalFormatting sqref="G52:H53">
    <cfRule type="colorScale" priority="17">
      <colorScale>
        <cfvo type="num" val="0"/>
        <cfvo type="num" val="1"/>
        <color rgb="FFFF0000"/>
        <color rgb="FF92D050"/>
      </colorScale>
    </cfRule>
  </conditionalFormatting>
  <conditionalFormatting sqref="G62:H62">
    <cfRule type="colorScale" priority="43">
      <colorScale>
        <cfvo type="num" val="0"/>
        <cfvo type="num" val="1"/>
        <color rgb="FFFF0000"/>
        <color rgb="FF92D050"/>
      </colorScale>
    </cfRule>
  </conditionalFormatting>
  <conditionalFormatting sqref="G66:H66 J66:M66 O66:R66 T66:U66">
    <cfRule type="colorScale" priority="53">
      <colorScale>
        <cfvo type="num" val="0"/>
        <cfvo type="num" val="1"/>
        <color rgb="FFFF0000"/>
        <color rgb="FF92D050"/>
      </colorScale>
    </cfRule>
  </conditionalFormatting>
  <conditionalFormatting sqref="G54:U56">
    <cfRule type="colorScale" priority="19">
      <colorScale>
        <cfvo type="num" val="0"/>
        <cfvo type="num" val="1"/>
        <color rgb="FFFF0000"/>
        <color rgb="FF92D050"/>
      </colorScale>
    </cfRule>
    <cfRule type="colorScale" priority="18">
      <colorScale>
        <cfvo type="num" val="0"/>
        <cfvo type="num" val="1"/>
        <color rgb="FFFF0000"/>
        <color rgb="FF92D050"/>
      </colorScale>
    </cfRule>
  </conditionalFormatting>
  <conditionalFormatting sqref="G57:U59">
    <cfRule type="colorScale" priority="16">
      <colorScale>
        <cfvo type="num" val="0"/>
        <cfvo type="num" val="1"/>
        <color rgb="FFFF0000"/>
        <color rgb="FF92D050"/>
      </colorScale>
    </cfRule>
  </conditionalFormatting>
  <conditionalFormatting sqref="G61:U74 F76:F89">
    <cfRule type="colorScale" priority="59">
      <colorScale>
        <cfvo type="num" val="0"/>
        <cfvo type="num" val="1"/>
        <color rgb="FFFF0000"/>
        <color rgb="FF92D050"/>
      </colorScale>
    </cfRule>
  </conditionalFormatting>
  <conditionalFormatting sqref="G68:U68">
    <cfRule type="colorScale" priority="58">
      <colorScale>
        <cfvo type="num" val="0"/>
        <cfvo type="num" val="1"/>
        <color rgb="FFFF0000"/>
        <color rgb="FF92D050"/>
      </colorScale>
    </cfRule>
  </conditionalFormatting>
  <conditionalFormatting sqref="G69:U69">
    <cfRule type="colorScale" priority="52">
      <colorScale>
        <cfvo type="num" val="0"/>
        <cfvo type="num" val="1"/>
        <color rgb="FFFF0000"/>
        <color rgb="FF92D050"/>
      </colorScale>
    </cfRule>
  </conditionalFormatting>
  <conditionalFormatting sqref="G71:U71">
    <cfRule type="colorScale" priority="51">
      <colorScale>
        <cfvo type="num" val="0"/>
        <cfvo type="num" val="1"/>
        <color rgb="FFFF0000"/>
        <color rgb="FF92D050"/>
      </colorScale>
    </cfRule>
  </conditionalFormatting>
  <conditionalFormatting sqref="G76:U89">
    <cfRule type="colorScale" priority="24">
      <colorScale>
        <cfvo type="num" val="0"/>
        <cfvo type="num" val="1"/>
        <color rgb="FFFF0000"/>
        <color rgb="FF92D050"/>
      </colorScale>
    </cfRule>
  </conditionalFormatting>
  <conditionalFormatting sqref="H50:J50">
    <cfRule type="colorScale" priority="14">
      <colorScale>
        <cfvo type="num" val="0"/>
        <cfvo type="num" val="1"/>
        <color rgb="FFFF0000"/>
        <color rgb="FF92D050"/>
      </colorScale>
    </cfRule>
  </conditionalFormatting>
  <conditionalFormatting sqref="I66:I67">
    <cfRule type="colorScale" priority="31">
      <colorScale>
        <cfvo type="num" val="0"/>
        <cfvo type="num" val="1"/>
        <color rgb="FFFF0000"/>
        <color rgb="FF92D050"/>
      </colorScale>
    </cfRule>
  </conditionalFormatting>
  <conditionalFormatting sqref="I51:J52">
    <cfRule type="colorScale" priority="7">
      <colorScale>
        <cfvo type="num" val="0"/>
        <cfvo type="num" val="1"/>
        <color rgb="FFFF0000"/>
        <color rgb="FF92D050"/>
      </colorScale>
    </cfRule>
  </conditionalFormatting>
  <conditionalFormatting sqref="I53:J53 S53:T53 N53:O53">
    <cfRule type="colorScale" priority="15">
      <colorScale>
        <cfvo type="num" val="0"/>
        <cfvo type="num" val="1"/>
        <color rgb="FFFF0000"/>
        <color rgb="FF92D050"/>
      </colorScale>
    </cfRule>
  </conditionalFormatting>
  <conditionalFormatting sqref="I46:L46">
    <cfRule type="colorScale" priority="3">
      <colorScale>
        <cfvo type="num" val="0"/>
        <cfvo type="num" val="1"/>
        <color rgb="FFFF0000"/>
        <color rgb="FF92D050"/>
      </colorScale>
    </cfRule>
  </conditionalFormatting>
  <conditionalFormatting sqref="I48:T48 G47:G51 H49:J49 M49:O49 K49:L50 R49:T49 P49:Q50 U48:U50 I47:L47 H46:H48 N47:Q47 M46:M47 S47:U47 R46:R47">
    <cfRule type="colorScale" priority="22">
      <colorScale>
        <cfvo type="num" val="0"/>
        <cfvo type="num" val="1"/>
        <color rgb="FFFF0000"/>
        <color rgb="FF92D050"/>
      </colorScale>
    </cfRule>
  </conditionalFormatting>
  <conditionalFormatting sqref="J62:M62">
    <cfRule type="colorScale" priority="42">
      <colorScale>
        <cfvo type="num" val="0"/>
        <cfvo type="num" val="1"/>
        <color rgb="FFFF0000"/>
        <color rgb="FF92D050"/>
      </colorScale>
    </cfRule>
  </conditionalFormatting>
  <conditionalFormatting sqref="K51:M51 H51 P51:R51 U51">
    <cfRule type="colorScale" priority="20">
      <colorScale>
        <cfvo type="num" val="0"/>
        <cfvo type="num" val="1"/>
        <color rgb="FFFF0000"/>
        <color rgb="FF92D050"/>
      </colorScale>
    </cfRule>
    <cfRule type="colorScale" priority="21">
      <colorScale>
        <cfvo type="num" val="0"/>
        <cfvo type="num" val="1"/>
        <color rgb="FFFF0000"/>
        <color rgb="FF92D050"/>
      </colorScale>
    </cfRule>
  </conditionalFormatting>
  <conditionalFormatting sqref="K52:M53">
    <cfRule type="colorScale" priority="8">
      <colorScale>
        <cfvo type="num" val="0"/>
        <cfvo type="num" val="1"/>
        <color rgb="FFFF0000"/>
        <color rgb="FF92D050"/>
      </colorScale>
    </cfRule>
  </conditionalFormatting>
  <conditionalFormatting sqref="M50:O50">
    <cfRule type="colorScale" priority="13">
      <colorScale>
        <cfvo type="num" val="0"/>
        <cfvo type="num" val="1"/>
        <color rgb="FFFF0000"/>
        <color rgb="FF92D050"/>
      </colorScale>
    </cfRule>
  </conditionalFormatting>
  <conditionalFormatting sqref="N66:N67">
    <cfRule type="colorScale" priority="30">
      <colorScale>
        <cfvo type="num" val="0"/>
        <cfvo type="num" val="1"/>
        <color rgb="FFFF0000"/>
        <color rgb="FF92D050"/>
      </colorScale>
    </cfRule>
  </conditionalFormatting>
  <conditionalFormatting sqref="N51:O52">
    <cfRule type="colorScale" priority="6">
      <colorScale>
        <cfvo type="num" val="0"/>
        <cfvo type="num" val="1"/>
        <color rgb="FFFF0000"/>
        <color rgb="FF92D050"/>
      </colorScale>
    </cfRule>
  </conditionalFormatting>
  <conditionalFormatting sqref="N46:Q46">
    <cfRule type="colorScale" priority="2">
      <colorScale>
        <cfvo type="num" val="0"/>
        <cfvo type="num" val="1"/>
        <color rgb="FFFF0000"/>
        <color rgb="FF92D050"/>
      </colorScale>
    </cfRule>
  </conditionalFormatting>
  <conditionalFormatting sqref="O62:R62">
    <cfRule type="colorScale" priority="41">
      <colorScale>
        <cfvo type="num" val="0"/>
        <cfvo type="num" val="1"/>
        <color rgb="FFFF0000"/>
        <color rgb="FF92D050"/>
      </colorScale>
    </cfRule>
  </conditionalFormatting>
  <conditionalFormatting sqref="P52:Q53">
    <cfRule type="colorScale" priority="9">
      <colorScale>
        <cfvo type="num" val="0"/>
        <cfvo type="num" val="1"/>
        <color rgb="FFFF0000"/>
        <color rgb="FF92D050"/>
      </colorScale>
    </cfRule>
  </conditionalFormatting>
  <conditionalFormatting sqref="R52:R53">
    <cfRule type="colorScale" priority="10">
      <colorScale>
        <cfvo type="num" val="0"/>
        <cfvo type="num" val="1"/>
        <color rgb="FFFF0000"/>
        <color rgb="FF92D050"/>
      </colorScale>
    </cfRule>
  </conditionalFormatting>
  <conditionalFormatting sqref="R50:T50">
    <cfRule type="colorScale" priority="12">
      <colorScale>
        <cfvo type="num" val="0"/>
        <cfvo type="num" val="1"/>
        <color rgb="FFFF0000"/>
        <color rgb="FF92D050"/>
      </colorScale>
    </cfRule>
  </conditionalFormatting>
  <conditionalFormatting sqref="S66:S67">
    <cfRule type="colorScale" priority="29">
      <colorScale>
        <cfvo type="num" val="0"/>
        <cfvo type="num" val="1"/>
        <color rgb="FFFF0000"/>
        <color rgb="FF92D050"/>
      </colorScale>
    </cfRule>
  </conditionalFormatting>
  <conditionalFormatting sqref="S51:T52">
    <cfRule type="colorScale" priority="5">
      <colorScale>
        <cfvo type="num" val="0"/>
        <cfvo type="num" val="1"/>
        <color rgb="FFFF0000"/>
        <color rgb="FF92D050"/>
      </colorScale>
    </cfRule>
  </conditionalFormatting>
  <conditionalFormatting sqref="S46:U46">
    <cfRule type="colorScale" priority="1">
      <colorScale>
        <cfvo type="num" val="0"/>
        <cfvo type="num" val="1"/>
        <color rgb="FFFF0000"/>
        <color rgb="FF92D050"/>
      </colorScale>
    </cfRule>
  </conditionalFormatting>
  <conditionalFormatting sqref="T62:U62">
    <cfRule type="colorScale" priority="40">
      <colorScale>
        <cfvo type="num" val="0"/>
        <cfvo type="num" val="1"/>
        <color rgb="FFFF0000"/>
        <color rgb="FF92D050"/>
      </colorScale>
    </cfRule>
  </conditionalFormatting>
  <conditionalFormatting sqref="U52:U53">
    <cfRule type="colorScale" priority="11">
      <colorScale>
        <cfvo type="num" val="0"/>
        <cfvo type="num" val="1"/>
        <color rgb="FFFF0000"/>
        <color rgb="FF92D050"/>
      </colorScale>
    </cfRule>
  </conditionalFormatting>
  <conditionalFormatting sqref="U5:W1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9:Z20 Y5:Y18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0:AE3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:AF29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1:AF3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2:AF3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3:AF3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4:AF34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5:AF3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6:AF3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7:AF37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:AF3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0:AF4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1:AF42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2:AD24 X5:X21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6:AG59">
    <cfRule type="colorScale" priority="60">
      <colorScale>
        <cfvo type="num" val="0"/>
        <cfvo type="num" val="1"/>
        <color rgb="FFFF0201"/>
        <color theme="9" tint="0.39997558519241921"/>
      </colorScale>
    </cfRule>
  </conditionalFormatting>
  <conditionalFormatting sqref="AG2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1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2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5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6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7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8:AG39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0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1:AG42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3C8E-119C-4439-86F7-C827EC6912BB}">
  <dimension ref="A2:AG89"/>
  <sheetViews>
    <sheetView topLeftCell="A38" workbookViewId="0">
      <selection activeCell="U59" sqref="U59"/>
    </sheetView>
  </sheetViews>
  <sheetFormatPr baseColWidth="10" defaultColWidth="8.83203125" defaultRowHeight="15" x14ac:dyDescent="0.2"/>
  <cols>
    <col min="2" max="2" width="64.83203125" customWidth="1"/>
  </cols>
  <sheetData>
    <row r="2" spans="1:25" ht="48" x14ac:dyDescent="0.2">
      <c r="E2" s="48" t="s">
        <v>0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U2" s="43" t="s">
        <v>1</v>
      </c>
      <c r="V2" s="43"/>
      <c r="W2" s="43"/>
      <c r="Y2" s="9" t="s">
        <v>2</v>
      </c>
    </row>
    <row r="3" spans="1:25" ht="64" x14ac:dyDescent="0.2">
      <c r="E3" s="47" t="s">
        <v>3</v>
      </c>
      <c r="F3" s="47"/>
      <c r="G3" s="47"/>
      <c r="H3" s="47"/>
      <c r="I3" s="47"/>
      <c r="J3" s="47" t="s">
        <v>4</v>
      </c>
      <c r="K3" s="47"/>
      <c r="L3" s="47"/>
      <c r="M3" s="47"/>
      <c r="N3" s="47"/>
      <c r="O3" s="47" t="s">
        <v>5</v>
      </c>
      <c r="P3" s="47"/>
      <c r="Q3" s="47"/>
      <c r="R3" s="47"/>
      <c r="S3" s="47"/>
      <c r="U3" s="8" t="s">
        <v>3</v>
      </c>
      <c r="V3" s="8" t="s">
        <v>4</v>
      </c>
      <c r="W3" s="8" t="s">
        <v>5</v>
      </c>
    </row>
    <row r="4" spans="1:25" ht="80" x14ac:dyDescent="0.2">
      <c r="B4" s="31" t="s">
        <v>6</v>
      </c>
      <c r="C4" s="7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8</v>
      </c>
      <c r="P4" s="6" t="s">
        <v>9</v>
      </c>
      <c r="Q4" s="6" t="s">
        <v>10</v>
      </c>
      <c r="R4" s="6" t="s">
        <v>11</v>
      </c>
      <c r="S4" s="6" t="s">
        <v>12</v>
      </c>
    </row>
    <row r="5" spans="1:25" ht="15" customHeight="1" x14ac:dyDescent="0.2">
      <c r="A5" s="49" t="s">
        <v>13</v>
      </c>
      <c r="B5" s="30" t="s">
        <v>14</v>
      </c>
      <c r="C5" s="28">
        <v>0</v>
      </c>
      <c r="E5" s="20">
        <v>0.755</v>
      </c>
      <c r="F5" s="20">
        <v>0.4</v>
      </c>
      <c r="G5" s="18">
        <v>0.77249999999999996</v>
      </c>
      <c r="H5" s="18">
        <v>0.45</v>
      </c>
      <c r="I5" s="20">
        <v>1</v>
      </c>
      <c r="J5" s="18">
        <v>0.3</v>
      </c>
      <c r="K5" s="18">
        <v>0.4</v>
      </c>
      <c r="L5" s="18">
        <v>0.77249999999999996</v>
      </c>
      <c r="M5" s="18">
        <v>0.45</v>
      </c>
      <c r="N5" s="18">
        <v>0.85840000000000005</v>
      </c>
      <c r="O5" s="18">
        <v>0.3</v>
      </c>
      <c r="P5" s="18">
        <v>0.4</v>
      </c>
      <c r="Q5" s="18">
        <v>0.77249999999999996</v>
      </c>
      <c r="R5" s="18">
        <v>0.45</v>
      </c>
      <c r="S5" s="18">
        <v>0.85840000000000005</v>
      </c>
      <c r="U5" s="21">
        <f>$C$22*E5+$C$23*F5+$C$24*G5+$C$25*H5+$C$26*I5</f>
        <v>0.70149499999999998</v>
      </c>
      <c r="V5" s="2">
        <f>$C$22*J5+$C$23*K5+$C$24*L5+$C$25*M5+$C$26*N5</f>
        <v>0.49408820000000003</v>
      </c>
      <c r="W5" s="2">
        <f>$C$22*O5+$C$23*P5+$C$24*Q5+$C$25*R5+$C$26*S5</f>
        <v>0.49408820000000003</v>
      </c>
      <c r="X5" s="2"/>
      <c r="Y5" s="2">
        <f>$C$29*U5+$C$30*V5+$C$31*W5</f>
        <v>0.57705092000000002</v>
      </c>
    </row>
    <row r="6" spans="1:25" ht="16" x14ac:dyDescent="0.2">
      <c r="A6" s="49"/>
      <c r="B6" s="30" t="s">
        <v>15</v>
      </c>
      <c r="C6" s="29">
        <v>1</v>
      </c>
      <c r="E6" s="20">
        <v>0.755</v>
      </c>
      <c r="F6" s="20">
        <v>1</v>
      </c>
      <c r="G6" s="18">
        <v>0.77249999999999996</v>
      </c>
      <c r="H6" s="18">
        <v>0.45</v>
      </c>
      <c r="I6" s="18">
        <v>0.85840000000000005</v>
      </c>
      <c r="J6" s="18">
        <v>0.3</v>
      </c>
      <c r="K6" s="18">
        <v>0.82</v>
      </c>
      <c r="L6" s="18">
        <v>0.77249999999999996</v>
      </c>
      <c r="M6" s="18">
        <v>0.45</v>
      </c>
      <c r="N6" s="18">
        <v>0.85840000000000005</v>
      </c>
      <c r="O6" s="18">
        <v>0.3</v>
      </c>
      <c r="P6" s="18">
        <v>0.82</v>
      </c>
      <c r="Q6" s="18">
        <v>0.77249999999999996</v>
      </c>
      <c r="R6" s="18">
        <v>0.45</v>
      </c>
      <c r="S6" s="18">
        <v>0.85840000000000005</v>
      </c>
      <c r="U6" s="21">
        <f t="shared" ref="U6:U18" si="0">$C$22*E6+$C$23*F6+$C$24*G6+$C$25*H6+$C$26*I6</f>
        <v>0.75979820000000009</v>
      </c>
      <c r="V6" s="2">
        <f t="shared" ref="V6:V18" si="1">$C$22*J6+$C$23*K6+$C$24*L6+$C$25*M6+$C$26*N6</f>
        <v>0.55204819999999999</v>
      </c>
      <c r="W6" s="2">
        <f t="shared" ref="W6:W18" si="2">$C$22*O6+$C$23*P6+$C$24*Q6+$C$25*R6+$C$26*S6</f>
        <v>0.55204819999999999</v>
      </c>
      <c r="X6" s="2"/>
      <c r="Y6" s="2">
        <f t="shared" ref="Y6:Y18" si="3">$C$29*U6+$C$30*V6+$C$31*W6</f>
        <v>0.63514820000000005</v>
      </c>
    </row>
    <row r="7" spans="1:25" ht="16" x14ac:dyDescent="0.2">
      <c r="A7" s="49"/>
      <c r="B7" s="30" t="s">
        <v>16</v>
      </c>
      <c r="C7" s="29">
        <v>1</v>
      </c>
      <c r="E7" s="20">
        <v>0.755</v>
      </c>
      <c r="F7" s="20">
        <v>0.82</v>
      </c>
      <c r="G7" s="18">
        <v>0.77249999999999996</v>
      </c>
      <c r="H7" s="18">
        <v>0.83750000000000002</v>
      </c>
      <c r="I7" s="20">
        <v>1</v>
      </c>
      <c r="J7" s="18">
        <v>0.755</v>
      </c>
      <c r="K7" s="18">
        <v>0.82</v>
      </c>
      <c r="L7" s="20">
        <v>1</v>
      </c>
      <c r="M7" s="18">
        <v>0.83750000000000002</v>
      </c>
      <c r="N7" s="20">
        <v>1</v>
      </c>
      <c r="O7" s="18">
        <v>0.755</v>
      </c>
      <c r="P7" s="18">
        <v>0.82</v>
      </c>
      <c r="Q7" s="18">
        <v>0.77249999999999996</v>
      </c>
      <c r="R7" s="18">
        <v>0.83750000000000002</v>
      </c>
      <c r="S7" s="20">
        <v>1</v>
      </c>
      <c r="U7" s="21">
        <f t="shared" si="0"/>
        <v>0.82184250000000003</v>
      </c>
      <c r="V7" s="2">
        <f t="shared" si="1"/>
        <v>0.85050749999999997</v>
      </c>
      <c r="W7" s="2">
        <f t="shared" si="2"/>
        <v>0.82184250000000003</v>
      </c>
      <c r="X7" s="2"/>
      <c r="Y7" s="2">
        <f>$C$29*U7+$C$30*V7+$C$31*W7</f>
        <v>0.83187524999999996</v>
      </c>
    </row>
    <row r="8" spans="1:25" ht="16" x14ac:dyDescent="0.2">
      <c r="A8" s="49"/>
      <c r="B8" s="30" t="s">
        <v>17</v>
      </c>
      <c r="C8" s="29">
        <v>1</v>
      </c>
      <c r="E8" s="20">
        <v>0.755</v>
      </c>
      <c r="F8" s="20">
        <v>0.4</v>
      </c>
      <c r="G8" s="18">
        <v>0.77249999999999996</v>
      </c>
      <c r="H8" s="18">
        <v>0.45</v>
      </c>
      <c r="I8" s="20">
        <v>1</v>
      </c>
      <c r="J8" s="18">
        <v>0.755</v>
      </c>
      <c r="K8" s="18">
        <v>0.4</v>
      </c>
      <c r="L8" s="18">
        <v>0.77249999999999996</v>
      </c>
      <c r="M8" s="18">
        <v>0.45</v>
      </c>
      <c r="N8" s="20">
        <v>1</v>
      </c>
      <c r="O8" s="18">
        <v>0.755</v>
      </c>
      <c r="P8" s="18">
        <v>0.4</v>
      </c>
      <c r="Q8" s="18">
        <v>0.77249999999999996</v>
      </c>
      <c r="R8" s="18">
        <v>0.45</v>
      </c>
      <c r="S8" s="20">
        <v>1</v>
      </c>
      <c r="U8" s="21">
        <f t="shared" si="0"/>
        <v>0.70149499999999998</v>
      </c>
      <c r="V8" s="2">
        <f t="shared" si="1"/>
        <v>0.70149499999999998</v>
      </c>
      <c r="W8" s="2">
        <f t="shared" si="2"/>
        <v>0.70149499999999998</v>
      </c>
      <c r="X8" s="2"/>
      <c r="Y8" s="2">
        <f t="shared" si="3"/>
        <v>0.70149499999999998</v>
      </c>
    </row>
    <row r="9" spans="1:25" ht="16" x14ac:dyDescent="0.2">
      <c r="A9" s="49"/>
      <c r="B9" s="30" t="s">
        <v>18</v>
      </c>
      <c r="C9" s="28">
        <v>0</v>
      </c>
      <c r="E9" s="18">
        <v>0.3</v>
      </c>
      <c r="F9" s="20">
        <v>0.4</v>
      </c>
      <c r="G9" s="18">
        <v>0.77249999999999996</v>
      </c>
      <c r="H9" s="20">
        <v>1</v>
      </c>
      <c r="I9" s="18">
        <v>0.38</v>
      </c>
      <c r="J9" s="18">
        <v>0.3</v>
      </c>
      <c r="K9" s="18">
        <v>0.4</v>
      </c>
      <c r="L9" s="18">
        <v>0.77249999999999996</v>
      </c>
      <c r="M9" s="20">
        <v>1</v>
      </c>
      <c r="N9" s="18">
        <v>0.38</v>
      </c>
      <c r="O9" s="18">
        <v>0.3</v>
      </c>
      <c r="P9" s="18">
        <v>0.4</v>
      </c>
      <c r="Q9" s="18">
        <v>0.77249999999999996</v>
      </c>
      <c r="R9" s="20">
        <v>1</v>
      </c>
      <c r="S9" s="18">
        <v>0.38</v>
      </c>
      <c r="U9" s="21">
        <f>$C$22*E9+$C$23*F9+$C$24*G9+$C$25*H9+$C$26*I9</f>
        <v>0.49987500000000007</v>
      </c>
      <c r="V9" s="2">
        <f t="shared" si="1"/>
        <v>0.49987500000000007</v>
      </c>
      <c r="W9" s="2">
        <f t="shared" si="2"/>
        <v>0.49987500000000007</v>
      </c>
      <c r="X9" s="2"/>
      <c r="Y9" s="2">
        <f>$C$29*U9+$C$30*V9+$C$31*W9</f>
        <v>0.49987500000000007</v>
      </c>
    </row>
    <row r="10" spans="1:25" ht="16" x14ac:dyDescent="0.2">
      <c r="A10" s="49"/>
      <c r="B10" s="30" t="s">
        <v>19</v>
      </c>
      <c r="C10" s="29">
        <v>1</v>
      </c>
      <c r="E10" s="20">
        <v>0.755</v>
      </c>
      <c r="F10" s="20">
        <v>0.4</v>
      </c>
      <c r="G10" s="20">
        <v>1</v>
      </c>
      <c r="H10" s="18">
        <v>0.83750000000000002</v>
      </c>
      <c r="I10" s="18">
        <v>0.38</v>
      </c>
      <c r="J10" s="18">
        <v>0.755</v>
      </c>
      <c r="K10" s="18">
        <v>0.4</v>
      </c>
      <c r="L10" s="20">
        <v>1</v>
      </c>
      <c r="M10" s="18">
        <v>0.83750000000000002</v>
      </c>
      <c r="N10" s="18">
        <v>0.38</v>
      </c>
      <c r="O10" s="18">
        <v>0.755</v>
      </c>
      <c r="P10" s="18">
        <v>0.4</v>
      </c>
      <c r="Q10" s="20">
        <v>1</v>
      </c>
      <c r="R10" s="18">
        <v>0.83750000000000002</v>
      </c>
      <c r="S10" s="18">
        <v>0.38</v>
      </c>
      <c r="U10" s="21">
        <f>$C$22*E10+$C$23*F10+$C$24*G10+$C$25*H10+$C$26*I10</f>
        <v>0.68528750000000005</v>
      </c>
      <c r="V10" s="2">
        <f t="shared" si="1"/>
        <v>0.68528750000000005</v>
      </c>
      <c r="W10" s="2">
        <f t="shared" si="2"/>
        <v>0.68528750000000005</v>
      </c>
      <c r="X10" s="2"/>
      <c r="Y10" s="2">
        <f t="shared" si="3"/>
        <v>0.68528750000000005</v>
      </c>
    </row>
    <row r="11" spans="1:25" ht="16" x14ac:dyDescent="0.2">
      <c r="A11" s="49"/>
      <c r="B11" s="30" t="s">
        <v>20</v>
      </c>
      <c r="C11" s="29">
        <v>1</v>
      </c>
      <c r="E11" s="18">
        <v>0.3</v>
      </c>
      <c r="F11" s="20">
        <v>0.4</v>
      </c>
      <c r="G11" s="18">
        <v>0.35</v>
      </c>
      <c r="H11" s="18">
        <v>0.83750000000000002</v>
      </c>
      <c r="I11" s="18">
        <v>0.85840000000000005</v>
      </c>
      <c r="J11" s="18">
        <v>0.3</v>
      </c>
      <c r="K11" s="18">
        <v>0.4</v>
      </c>
      <c r="L11" s="18">
        <v>0.35</v>
      </c>
      <c r="M11" s="18">
        <v>0.83750000000000002</v>
      </c>
      <c r="N11" s="18">
        <v>0.85840000000000005</v>
      </c>
      <c r="O11" s="18">
        <v>0.3</v>
      </c>
      <c r="P11" s="18">
        <v>0.4</v>
      </c>
      <c r="Q11" s="18">
        <v>0.35</v>
      </c>
      <c r="R11" s="18">
        <v>0.83750000000000002</v>
      </c>
      <c r="S11" s="18">
        <v>0.85840000000000005</v>
      </c>
      <c r="U11" s="21">
        <f t="shared" si="0"/>
        <v>0.5032407000000001</v>
      </c>
      <c r="V11" s="2">
        <f t="shared" si="1"/>
        <v>0.5032407000000001</v>
      </c>
      <c r="W11" s="2">
        <f t="shared" si="2"/>
        <v>0.5032407000000001</v>
      </c>
      <c r="X11" s="2"/>
      <c r="Y11" s="2">
        <f>$C$29*U11+$C$30*V11+$C$31*W11</f>
        <v>0.5032407000000001</v>
      </c>
    </row>
    <row r="12" spans="1:25" ht="16" x14ac:dyDescent="0.2">
      <c r="A12" s="49"/>
      <c r="B12" s="30" t="s">
        <v>21</v>
      </c>
      <c r="C12" s="28">
        <v>0</v>
      </c>
      <c r="E12" s="18">
        <v>0.3</v>
      </c>
      <c r="F12" s="20">
        <v>0.4</v>
      </c>
      <c r="G12" s="18">
        <v>0.35</v>
      </c>
      <c r="H12" s="20">
        <v>1</v>
      </c>
      <c r="I12" s="18">
        <v>0.38</v>
      </c>
      <c r="J12" s="18">
        <v>0.3</v>
      </c>
      <c r="K12" s="18">
        <v>0.4</v>
      </c>
      <c r="L12" s="18">
        <v>0.35</v>
      </c>
      <c r="M12" s="20">
        <v>1</v>
      </c>
      <c r="N12" s="18">
        <v>0.38</v>
      </c>
      <c r="O12" s="18">
        <v>0.3</v>
      </c>
      <c r="P12" s="18">
        <v>0.4</v>
      </c>
      <c r="Q12" s="18">
        <v>0.35</v>
      </c>
      <c r="R12" s="20">
        <v>1</v>
      </c>
      <c r="S12" s="18">
        <v>0.38</v>
      </c>
      <c r="U12" s="21">
        <f t="shared" si="0"/>
        <v>0.44664000000000004</v>
      </c>
      <c r="V12" s="2">
        <f t="shared" si="1"/>
        <v>0.44664000000000004</v>
      </c>
      <c r="W12" s="2">
        <f t="shared" si="2"/>
        <v>0.44664000000000004</v>
      </c>
      <c r="X12" s="2"/>
      <c r="Y12" s="2">
        <f t="shared" si="3"/>
        <v>0.44664000000000004</v>
      </c>
    </row>
    <row r="13" spans="1:25" ht="15" customHeight="1" x14ac:dyDescent="0.2">
      <c r="A13" s="50" t="s">
        <v>22</v>
      </c>
      <c r="B13" s="26" t="s">
        <v>23</v>
      </c>
      <c r="C13" s="29">
        <v>1</v>
      </c>
      <c r="E13" s="20">
        <v>0.755</v>
      </c>
      <c r="F13" s="20">
        <v>0.4</v>
      </c>
      <c r="G13" s="18">
        <v>0.35</v>
      </c>
      <c r="H13" s="18">
        <v>0.83750000000000002</v>
      </c>
      <c r="I13" s="18">
        <v>0.38</v>
      </c>
      <c r="J13" s="18">
        <v>0.755</v>
      </c>
      <c r="K13" s="18">
        <v>0.4</v>
      </c>
      <c r="L13" s="18">
        <v>0.35</v>
      </c>
      <c r="M13" s="18">
        <v>0.83750000000000002</v>
      </c>
      <c r="N13" s="18">
        <v>0.38</v>
      </c>
      <c r="O13" s="20">
        <v>1</v>
      </c>
      <c r="P13" s="18">
        <v>0.4</v>
      </c>
      <c r="Q13" s="18">
        <v>0.35</v>
      </c>
      <c r="R13" s="18">
        <v>0.83750000000000002</v>
      </c>
      <c r="S13" s="18">
        <v>0.38</v>
      </c>
      <c r="U13" s="21">
        <f t="shared" si="0"/>
        <v>0.60338750000000008</v>
      </c>
      <c r="V13" s="2">
        <f>$C$22*J13+$C$23*K13+$C$24*L13+$C$25*M13+$C$26*N13</f>
        <v>0.60338750000000008</v>
      </c>
      <c r="W13" s="2">
        <f t="shared" si="2"/>
        <v>0.70187750000000004</v>
      </c>
      <c r="X13" s="2"/>
      <c r="Y13" s="2">
        <f>$C$29*U13+$C$30*V13+$C$31*W13</f>
        <v>0.62801000000000007</v>
      </c>
    </row>
    <row r="14" spans="1:25" ht="16" x14ac:dyDescent="0.2">
      <c r="A14" s="50"/>
      <c r="B14" s="26" t="s">
        <v>24</v>
      </c>
      <c r="C14" s="28">
        <v>0</v>
      </c>
      <c r="E14" s="18">
        <v>0.3</v>
      </c>
      <c r="F14" s="20">
        <v>1</v>
      </c>
      <c r="G14" s="18">
        <v>0.77249999999999996</v>
      </c>
      <c r="H14" s="18">
        <v>0.45</v>
      </c>
      <c r="I14" s="18">
        <v>0.38</v>
      </c>
      <c r="J14" s="18">
        <v>0.3</v>
      </c>
      <c r="K14" s="18">
        <v>0.82</v>
      </c>
      <c r="L14" s="18">
        <v>0.77249999999999996</v>
      </c>
      <c r="M14" s="18">
        <v>0.45</v>
      </c>
      <c r="N14" s="18">
        <v>0.38</v>
      </c>
      <c r="O14" s="18">
        <v>0.3</v>
      </c>
      <c r="P14" s="18">
        <v>0.82</v>
      </c>
      <c r="Q14" s="18">
        <v>0.77249999999999996</v>
      </c>
      <c r="R14" s="18">
        <v>0.45</v>
      </c>
      <c r="S14" s="18">
        <v>0.38</v>
      </c>
      <c r="U14" s="21">
        <f t="shared" si="0"/>
        <v>0.49412500000000004</v>
      </c>
      <c r="V14" s="2">
        <f t="shared" si="1"/>
        <v>0.46928499999999995</v>
      </c>
      <c r="W14" s="2">
        <f t="shared" si="2"/>
        <v>0.46928499999999995</v>
      </c>
      <c r="X14" s="2"/>
      <c r="Y14" s="2">
        <f t="shared" si="3"/>
        <v>0.47922099999999995</v>
      </c>
    </row>
    <row r="15" spans="1:25" ht="16" x14ac:dyDescent="0.2">
      <c r="A15" s="50"/>
      <c r="B15" s="26" t="s">
        <v>25</v>
      </c>
      <c r="C15" s="29">
        <v>1</v>
      </c>
      <c r="E15" s="20">
        <v>0.755</v>
      </c>
      <c r="F15" s="20">
        <v>0.4</v>
      </c>
      <c r="G15" s="18">
        <v>0.35</v>
      </c>
      <c r="H15" s="18">
        <v>0.83750000000000002</v>
      </c>
      <c r="I15" s="18">
        <v>0.38</v>
      </c>
      <c r="J15" s="18">
        <v>0.755</v>
      </c>
      <c r="K15" s="18">
        <v>0.4</v>
      </c>
      <c r="L15" s="18">
        <v>0.35</v>
      </c>
      <c r="M15" s="18">
        <v>0.83750000000000002</v>
      </c>
      <c r="N15" s="18">
        <v>0.38</v>
      </c>
      <c r="O15" s="18">
        <v>0.755</v>
      </c>
      <c r="P15" s="18">
        <v>0.4</v>
      </c>
      <c r="Q15" s="18">
        <v>0.35</v>
      </c>
      <c r="R15" s="20">
        <v>1</v>
      </c>
      <c r="S15" s="18">
        <v>0.38</v>
      </c>
      <c r="U15" s="21">
        <f t="shared" si="0"/>
        <v>0.60338750000000008</v>
      </c>
      <c r="V15" s="2">
        <f t="shared" si="1"/>
        <v>0.60338750000000008</v>
      </c>
      <c r="W15" s="2">
        <f t="shared" si="2"/>
        <v>0.62955000000000005</v>
      </c>
      <c r="X15" s="2"/>
      <c r="Y15" s="2">
        <f t="shared" si="3"/>
        <v>0.60992812500000004</v>
      </c>
    </row>
    <row r="16" spans="1:25" ht="16" x14ac:dyDescent="0.2">
      <c r="A16" s="50"/>
      <c r="B16" s="26" t="s">
        <v>26</v>
      </c>
      <c r="C16" s="29">
        <v>1</v>
      </c>
      <c r="E16" s="18">
        <v>0.3</v>
      </c>
      <c r="F16" s="20">
        <v>0.82</v>
      </c>
      <c r="G16" s="18">
        <v>0.77249999999999996</v>
      </c>
      <c r="H16" s="18">
        <v>0.45</v>
      </c>
      <c r="I16" s="18">
        <v>0.38</v>
      </c>
      <c r="J16" s="18">
        <v>0.3</v>
      </c>
      <c r="K16" s="18">
        <v>0.82</v>
      </c>
      <c r="L16" s="20">
        <v>1</v>
      </c>
      <c r="M16" s="18">
        <v>0.45</v>
      </c>
      <c r="N16" s="18">
        <v>0.38</v>
      </c>
      <c r="O16" s="18">
        <v>0.3</v>
      </c>
      <c r="P16" s="18">
        <v>0.82</v>
      </c>
      <c r="Q16" s="18">
        <v>0.77249999999999996</v>
      </c>
      <c r="R16" s="18">
        <v>0.45</v>
      </c>
      <c r="S16" s="18">
        <v>0.38</v>
      </c>
      <c r="U16" s="21">
        <f t="shared" si="0"/>
        <v>0.46928499999999995</v>
      </c>
      <c r="V16" s="2">
        <f t="shared" si="1"/>
        <v>0.49795</v>
      </c>
      <c r="W16" s="2">
        <f t="shared" si="2"/>
        <v>0.46928499999999995</v>
      </c>
      <c r="X16" s="2"/>
      <c r="Y16" s="2">
        <f t="shared" si="3"/>
        <v>0.47931774999999993</v>
      </c>
    </row>
    <row r="17" spans="1:33" ht="16" x14ac:dyDescent="0.2">
      <c r="A17" s="50"/>
      <c r="B17" s="26" t="s">
        <v>27</v>
      </c>
      <c r="C17" s="28">
        <v>0</v>
      </c>
      <c r="E17" s="18">
        <v>0.3</v>
      </c>
      <c r="F17" s="20">
        <v>0.82</v>
      </c>
      <c r="G17" s="18">
        <v>0.35</v>
      </c>
      <c r="H17" s="18">
        <v>0.45</v>
      </c>
      <c r="I17" s="18">
        <v>0.38</v>
      </c>
      <c r="J17" s="18">
        <v>0.3</v>
      </c>
      <c r="K17" s="18">
        <v>0.82</v>
      </c>
      <c r="L17" s="18">
        <v>0.35</v>
      </c>
      <c r="M17" s="18">
        <v>0.45</v>
      </c>
      <c r="N17" s="18">
        <v>0.38</v>
      </c>
      <c r="O17" s="18">
        <v>0.3</v>
      </c>
      <c r="P17" s="18">
        <v>0.82</v>
      </c>
      <c r="Q17" s="18">
        <v>0.35</v>
      </c>
      <c r="R17" s="18">
        <v>0.45</v>
      </c>
      <c r="S17" s="18">
        <v>0.38</v>
      </c>
      <c r="U17" s="21">
        <f t="shared" si="0"/>
        <v>0.41605000000000003</v>
      </c>
      <c r="V17" s="2">
        <f t="shared" si="1"/>
        <v>0.41605000000000003</v>
      </c>
      <c r="W17" s="2">
        <f t="shared" si="2"/>
        <v>0.41605000000000003</v>
      </c>
      <c r="X17" s="2"/>
      <c r="Y17" s="2">
        <f t="shared" si="3"/>
        <v>0.41605000000000003</v>
      </c>
    </row>
    <row r="18" spans="1:33" ht="16" x14ac:dyDescent="0.2">
      <c r="A18" s="50"/>
      <c r="B18" s="26" t="s">
        <v>28</v>
      </c>
      <c r="C18" s="28">
        <v>0</v>
      </c>
      <c r="E18" s="18">
        <v>0.3</v>
      </c>
      <c r="F18" s="20">
        <v>0.82</v>
      </c>
      <c r="G18" s="18">
        <v>0.35</v>
      </c>
      <c r="H18" s="18">
        <v>0.45</v>
      </c>
      <c r="I18" s="18">
        <v>0.38</v>
      </c>
      <c r="J18" s="18">
        <v>0.3</v>
      </c>
      <c r="K18" s="18">
        <v>0.82</v>
      </c>
      <c r="L18" s="18">
        <v>0.35</v>
      </c>
      <c r="M18" s="18">
        <v>0.45</v>
      </c>
      <c r="N18" s="18">
        <v>0.38</v>
      </c>
      <c r="O18" s="18">
        <v>0.3</v>
      </c>
      <c r="P18" s="18">
        <v>0.82</v>
      </c>
      <c r="Q18" s="18">
        <v>0.35</v>
      </c>
      <c r="R18" s="18">
        <v>0.45</v>
      </c>
      <c r="S18" s="18">
        <v>0.38</v>
      </c>
      <c r="U18" s="21">
        <f t="shared" si="0"/>
        <v>0.41605000000000003</v>
      </c>
      <c r="V18" s="2">
        <f t="shared" si="1"/>
        <v>0.41605000000000003</v>
      </c>
      <c r="W18" s="2">
        <f t="shared" si="2"/>
        <v>0.41605000000000003</v>
      </c>
      <c r="X18" s="2"/>
      <c r="Y18" s="2">
        <f t="shared" si="3"/>
        <v>0.41605000000000003</v>
      </c>
    </row>
    <row r="19" spans="1:33" x14ac:dyDescent="0.2">
      <c r="A19" s="17"/>
      <c r="B19" s="10" t="s">
        <v>29</v>
      </c>
      <c r="C19" s="15">
        <f>SUMPRODUCT(C5:C18,W5:W18)</f>
        <v>5.0646264000000007</v>
      </c>
      <c r="E19" s="2"/>
      <c r="F19" s="2"/>
      <c r="G19" s="2"/>
      <c r="H19" s="2"/>
      <c r="I19" s="2"/>
      <c r="J19" s="2"/>
      <c r="K19" s="2"/>
      <c r="L19" s="2"/>
      <c r="U19" s="16"/>
      <c r="V19" s="16"/>
      <c r="W19" s="16"/>
      <c r="X19" s="2"/>
      <c r="Z19" s="2"/>
    </row>
    <row r="20" spans="1:33" x14ac:dyDescent="0.2">
      <c r="X20" s="2"/>
    </row>
    <row r="21" spans="1:33" x14ac:dyDescent="0.2">
      <c r="B21" s="11" t="s">
        <v>30</v>
      </c>
      <c r="C21" s="3" t="s">
        <v>31</v>
      </c>
      <c r="D21" s="23" t="s">
        <v>32</v>
      </c>
      <c r="E21" s="23" t="s">
        <v>33</v>
      </c>
      <c r="F21" s="23" t="s">
        <v>34</v>
      </c>
      <c r="G21" s="23" t="s">
        <v>35</v>
      </c>
      <c r="H21" s="23" t="s">
        <v>36</v>
      </c>
      <c r="X21" s="2"/>
    </row>
    <row r="22" spans="1:33" ht="16" x14ac:dyDescent="0.2">
      <c r="B22" t="s">
        <v>8</v>
      </c>
      <c r="C22" s="33">
        <v>0.40200000000000002</v>
      </c>
      <c r="D22" s="34">
        <v>0.6</v>
      </c>
      <c r="E22" s="34">
        <v>0.35</v>
      </c>
      <c r="F22" s="34">
        <v>0.26600000000000001</v>
      </c>
      <c r="G22" s="34">
        <v>0.22500000000000001</v>
      </c>
      <c r="H22" s="34">
        <v>0.2</v>
      </c>
      <c r="AD22" s="2"/>
    </row>
    <row r="23" spans="1:33" ht="16" x14ac:dyDescent="0.2">
      <c r="B23" t="s">
        <v>9</v>
      </c>
      <c r="C23" s="33">
        <v>0.13800000000000001</v>
      </c>
      <c r="D23" s="34">
        <v>0.1</v>
      </c>
      <c r="E23" s="34">
        <v>0.1</v>
      </c>
      <c r="F23" s="34">
        <v>0.1</v>
      </c>
      <c r="G23" s="34">
        <v>0.22500000000000001</v>
      </c>
      <c r="H23" s="34">
        <v>0.2</v>
      </c>
      <c r="AD23" s="2"/>
    </row>
    <row r="24" spans="1:33" ht="16" x14ac:dyDescent="0.2">
      <c r="B24" t="s">
        <v>10</v>
      </c>
      <c r="C24" s="33">
        <v>0.126</v>
      </c>
      <c r="D24" s="34">
        <v>0.1</v>
      </c>
      <c r="E24" s="34">
        <v>0.1</v>
      </c>
      <c r="F24" s="34">
        <v>0.1</v>
      </c>
      <c r="G24" s="34">
        <v>0.1</v>
      </c>
      <c r="H24" s="34">
        <v>0.2</v>
      </c>
      <c r="AD24" s="2"/>
    </row>
    <row r="25" spans="1:33" ht="16" x14ac:dyDescent="0.2">
      <c r="B25" t="s">
        <v>11</v>
      </c>
      <c r="C25" s="33">
        <v>0.161</v>
      </c>
      <c r="D25" s="34">
        <v>0.1</v>
      </c>
      <c r="E25" s="34">
        <v>0.1</v>
      </c>
      <c r="F25" s="34">
        <v>0.26700000000000002</v>
      </c>
      <c r="G25" s="34">
        <v>0.22500000000000001</v>
      </c>
      <c r="H25" s="34">
        <v>0.2</v>
      </c>
    </row>
    <row r="26" spans="1:33" ht="16" x14ac:dyDescent="0.2">
      <c r="B26" t="s">
        <v>12</v>
      </c>
      <c r="C26" s="33">
        <v>0.17299999999999999</v>
      </c>
      <c r="D26" s="34">
        <v>0.1</v>
      </c>
      <c r="E26" s="34">
        <v>0.35</v>
      </c>
      <c r="F26" s="34">
        <v>0.26700000000000002</v>
      </c>
      <c r="G26" s="34">
        <v>0.22500000000000001</v>
      </c>
      <c r="H26" s="34">
        <v>0.2</v>
      </c>
    </row>
    <row r="28" spans="1:33" x14ac:dyDescent="0.2">
      <c r="B28" s="11" t="s">
        <v>37</v>
      </c>
      <c r="C28" s="3" t="s">
        <v>38</v>
      </c>
      <c r="D28" s="23" t="s">
        <v>39</v>
      </c>
      <c r="E28" s="23" t="s">
        <v>40</v>
      </c>
      <c r="F28" s="23" t="s">
        <v>41</v>
      </c>
    </row>
    <row r="29" spans="1:33" ht="16" x14ac:dyDescent="0.2">
      <c r="B29" t="s">
        <v>3</v>
      </c>
      <c r="C29" s="34">
        <v>0.4</v>
      </c>
      <c r="D29" s="34">
        <v>0.8</v>
      </c>
      <c r="E29" s="34">
        <v>0.45</v>
      </c>
      <c r="F29" s="34">
        <v>0.33400000000000002</v>
      </c>
      <c r="J29" s="22"/>
      <c r="K29" s="2"/>
      <c r="M29" s="20"/>
      <c r="N29" s="20"/>
      <c r="O29" s="18"/>
      <c r="P29" s="18"/>
      <c r="Q29" s="20"/>
      <c r="R29" s="18"/>
      <c r="S29" s="18"/>
      <c r="T29" s="18"/>
      <c r="U29" s="18"/>
      <c r="V29" s="18"/>
      <c r="W29" s="18"/>
      <c r="X29" s="18"/>
      <c r="Y29" s="18"/>
      <c r="Z29" s="18"/>
      <c r="AA29" s="18"/>
      <c r="AC29" s="2"/>
      <c r="AD29" s="2"/>
      <c r="AE29" s="2"/>
      <c r="AF29" s="2"/>
      <c r="AG29" s="2"/>
    </row>
    <row r="30" spans="1:33" ht="16" x14ac:dyDescent="0.2">
      <c r="B30" t="s">
        <v>4</v>
      </c>
      <c r="C30" s="34">
        <v>0.35</v>
      </c>
      <c r="D30" s="34">
        <v>0.1</v>
      </c>
      <c r="E30" s="34">
        <v>0.45</v>
      </c>
      <c r="F30" s="34">
        <v>0.33300000000000002</v>
      </c>
      <c r="J30" s="22"/>
      <c r="K30" s="2"/>
      <c r="M30" s="20"/>
      <c r="N30" s="20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C30" s="2"/>
      <c r="AD30" s="2"/>
      <c r="AE30" s="2"/>
      <c r="AG30" s="2"/>
    </row>
    <row r="31" spans="1:33" ht="16" x14ac:dyDescent="0.2">
      <c r="B31" t="s">
        <v>5</v>
      </c>
      <c r="C31" s="34">
        <v>0.25</v>
      </c>
      <c r="D31" s="34">
        <v>0.1</v>
      </c>
      <c r="E31" s="34">
        <v>0.1</v>
      </c>
      <c r="F31" s="34">
        <v>0.33300000000000002</v>
      </c>
      <c r="J31" s="22"/>
      <c r="K31" s="2"/>
      <c r="M31" s="20"/>
      <c r="N31" s="20"/>
      <c r="O31" s="18"/>
      <c r="P31" s="18"/>
      <c r="Q31" s="20"/>
      <c r="R31" s="18"/>
      <c r="S31" s="18"/>
      <c r="T31" s="20"/>
      <c r="U31" s="18"/>
      <c r="V31" s="20"/>
      <c r="W31" s="18"/>
      <c r="X31" s="18"/>
      <c r="Y31" s="18"/>
      <c r="Z31" s="18"/>
      <c r="AA31" s="20"/>
      <c r="AC31" s="2"/>
      <c r="AD31" s="2"/>
      <c r="AE31" s="2"/>
      <c r="AF31" s="2"/>
      <c r="AG31" s="2"/>
    </row>
    <row r="32" spans="1:33" ht="16" x14ac:dyDescent="0.2">
      <c r="J32" s="22"/>
      <c r="K32" s="2"/>
      <c r="M32" s="20"/>
      <c r="N32" s="20"/>
      <c r="O32" s="18"/>
      <c r="P32" s="18"/>
      <c r="Q32" s="20"/>
      <c r="R32" s="18"/>
      <c r="S32" s="18"/>
      <c r="T32" s="18"/>
      <c r="U32" s="18"/>
      <c r="V32" s="20"/>
      <c r="W32" s="18"/>
      <c r="X32" s="18"/>
      <c r="Y32" s="18"/>
      <c r="Z32" s="18"/>
      <c r="AA32" s="20"/>
      <c r="AC32" s="2"/>
      <c r="AD32" s="2"/>
      <c r="AE32" s="2"/>
      <c r="AF32" s="2"/>
      <c r="AG32" s="2"/>
    </row>
    <row r="33" spans="1:33" ht="16" x14ac:dyDescent="0.2">
      <c r="B33" s="11" t="s">
        <v>42</v>
      </c>
      <c r="C33" s="5"/>
      <c r="D33" s="5"/>
      <c r="E33" s="5" t="s">
        <v>43</v>
      </c>
      <c r="J33" s="22"/>
      <c r="K33" s="2"/>
      <c r="M33" s="18"/>
      <c r="N33" s="20"/>
      <c r="O33" s="18"/>
      <c r="P33" s="20"/>
      <c r="Q33" s="18"/>
      <c r="R33" s="18"/>
      <c r="S33" s="18"/>
      <c r="T33" s="18"/>
      <c r="U33" s="20"/>
      <c r="V33" s="18"/>
      <c r="W33" s="18"/>
      <c r="X33" s="18"/>
      <c r="Y33" s="18"/>
      <c r="Z33" s="20"/>
      <c r="AA33" s="18"/>
      <c r="AC33" s="2"/>
      <c r="AD33" s="2"/>
      <c r="AE33" s="2"/>
      <c r="AF33" s="2"/>
      <c r="AG33" s="2"/>
    </row>
    <row r="34" spans="1:33" ht="32" x14ac:dyDescent="0.2">
      <c r="A34" s="12" t="s">
        <v>44</v>
      </c>
      <c r="B34" s="1" t="s">
        <v>45</v>
      </c>
      <c r="C34" s="14">
        <f>SUM(C5:C18)</f>
        <v>8</v>
      </c>
      <c r="D34" s="5" t="s">
        <v>46</v>
      </c>
      <c r="E34" s="14">
        <v>8</v>
      </c>
      <c r="J34" s="22"/>
      <c r="K34" s="2"/>
      <c r="M34" s="20"/>
      <c r="N34" s="20"/>
      <c r="O34" s="20"/>
      <c r="P34" s="18"/>
      <c r="Q34" s="18"/>
      <c r="R34" s="18"/>
      <c r="S34" s="18"/>
      <c r="T34" s="20"/>
      <c r="U34" s="18"/>
      <c r="V34" s="18"/>
      <c r="W34" s="18"/>
      <c r="X34" s="18"/>
      <c r="Y34" s="20"/>
      <c r="Z34" s="18"/>
      <c r="AA34" s="18"/>
      <c r="AC34" s="2"/>
      <c r="AD34" s="2"/>
      <c r="AE34" s="2"/>
      <c r="AF34" s="2"/>
      <c r="AG34" s="2"/>
    </row>
    <row r="35" spans="1:33" ht="32" x14ac:dyDescent="0.2">
      <c r="A35" s="44" t="s">
        <v>47</v>
      </c>
      <c r="B35" s="19" t="s">
        <v>76</v>
      </c>
      <c r="C35" s="14">
        <f>C18+C14</f>
        <v>0</v>
      </c>
      <c r="D35" s="5" t="s">
        <v>46</v>
      </c>
      <c r="E35" s="14">
        <v>1</v>
      </c>
      <c r="J35" s="22"/>
      <c r="K35" s="2"/>
      <c r="M35" s="18"/>
      <c r="N35" s="20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C35" s="2"/>
      <c r="AD35" s="2"/>
      <c r="AE35" s="2"/>
      <c r="AF35" s="2"/>
      <c r="AG35" s="2"/>
    </row>
    <row r="36" spans="1:33" ht="16" x14ac:dyDescent="0.2">
      <c r="A36" s="44"/>
      <c r="B36" s="45" t="s">
        <v>49</v>
      </c>
      <c r="C36" s="52">
        <f>C13</f>
        <v>1</v>
      </c>
      <c r="D36" s="51" t="s">
        <v>50</v>
      </c>
      <c r="E36" s="52">
        <f>C15</f>
        <v>1</v>
      </c>
      <c r="J36" s="22"/>
      <c r="K36" s="2"/>
      <c r="M36" s="18"/>
      <c r="N36" s="20"/>
      <c r="O36" s="18"/>
      <c r="P36" s="20"/>
      <c r="Q36" s="18"/>
      <c r="R36" s="18"/>
      <c r="S36" s="18"/>
      <c r="T36" s="18"/>
      <c r="U36" s="20"/>
      <c r="V36" s="18"/>
      <c r="W36" s="18"/>
      <c r="X36" s="18"/>
      <c r="Y36" s="18"/>
      <c r="Z36" s="20"/>
      <c r="AA36" s="18"/>
      <c r="AC36" s="2"/>
      <c r="AD36" s="2"/>
      <c r="AE36" s="2"/>
      <c r="AF36" s="2"/>
      <c r="AG36" s="2"/>
    </row>
    <row r="37" spans="1:33" ht="16" x14ac:dyDescent="0.2">
      <c r="A37" s="44"/>
      <c r="B37" s="46"/>
      <c r="C37" s="52"/>
      <c r="D37" s="51"/>
      <c r="E37" s="52"/>
      <c r="K37" s="2"/>
      <c r="M37" s="20"/>
      <c r="N37" s="20"/>
      <c r="O37" s="18"/>
      <c r="P37" s="18"/>
      <c r="Q37" s="18"/>
      <c r="R37" s="18"/>
      <c r="S37" s="18"/>
      <c r="T37" s="18"/>
      <c r="U37" s="18"/>
      <c r="V37" s="18"/>
      <c r="W37" s="20"/>
      <c r="X37" s="18"/>
      <c r="Y37" s="18"/>
      <c r="Z37" s="18"/>
      <c r="AA37" s="18"/>
      <c r="AC37" s="2"/>
      <c r="AD37" s="2"/>
      <c r="AE37" s="2"/>
      <c r="AF37" s="2"/>
      <c r="AG37" s="2"/>
    </row>
    <row r="38" spans="1:33" ht="32" x14ac:dyDescent="0.2">
      <c r="B38" s="19" t="s">
        <v>51</v>
      </c>
      <c r="C38" s="14">
        <f>C10</f>
        <v>1</v>
      </c>
      <c r="D38" s="5" t="s">
        <v>46</v>
      </c>
      <c r="E38" s="14">
        <f>C8</f>
        <v>1</v>
      </c>
      <c r="K38" s="2"/>
      <c r="M38" s="18"/>
      <c r="N38" s="20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C38" s="2"/>
      <c r="AD38" s="2"/>
      <c r="AE38" s="2"/>
      <c r="AF38" s="2"/>
      <c r="AG38" s="2"/>
    </row>
    <row r="39" spans="1:33" ht="16" x14ac:dyDescent="0.2">
      <c r="A39" s="12" t="s">
        <v>52</v>
      </c>
      <c r="B39" t="s">
        <v>53</v>
      </c>
      <c r="C39" s="2">
        <f>SUM(C5:C12)</f>
        <v>5</v>
      </c>
      <c r="D39" s="2" t="s">
        <v>54</v>
      </c>
      <c r="E39" s="2">
        <v>3</v>
      </c>
      <c r="K39" s="2"/>
      <c r="M39" s="20"/>
      <c r="N39" s="20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0"/>
      <c r="AA39" s="18"/>
      <c r="AC39" s="2"/>
      <c r="AD39" s="2"/>
      <c r="AE39" s="2"/>
      <c r="AF39" s="2"/>
      <c r="AG39" s="2"/>
    </row>
    <row r="40" spans="1:33" ht="16" x14ac:dyDescent="0.2">
      <c r="C40" s="2">
        <f>SUM(C13:C18)</f>
        <v>3</v>
      </c>
      <c r="D40" s="2" t="s">
        <v>54</v>
      </c>
      <c r="E40" s="2">
        <v>3</v>
      </c>
      <c r="K40" s="2"/>
      <c r="M40" s="18"/>
      <c r="N40" s="20"/>
      <c r="O40" s="18"/>
      <c r="P40" s="18"/>
      <c r="Q40" s="18"/>
      <c r="R40" s="18"/>
      <c r="S40" s="18"/>
      <c r="T40" s="20"/>
      <c r="U40" s="18"/>
      <c r="V40" s="18"/>
      <c r="W40" s="18"/>
      <c r="X40" s="18"/>
      <c r="Y40" s="18"/>
      <c r="Z40" s="18"/>
      <c r="AA40" s="18"/>
      <c r="AC40" s="2"/>
      <c r="AD40" s="2"/>
      <c r="AE40" s="2"/>
      <c r="AF40" s="2"/>
      <c r="AG40" s="2"/>
    </row>
    <row r="41" spans="1:33" ht="16" x14ac:dyDescent="0.2">
      <c r="B41" t="s">
        <v>55</v>
      </c>
      <c r="C41" s="2">
        <f>SUM(C5:C12)</f>
        <v>5</v>
      </c>
      <c r="D41" s="2" t="s">
        <v>46</v>
      </c>
      <c r="E41" s="2">
        <v>5</v>
      </c>
      <c r="K41" s="2"/>
      <c r="M41" s="18"/>
      <c r="N41" s="20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C41" s="2"/>
      <c r="AD41" s="2"/>
      <c r="AE41" s="2"/>
      <c r="AF41" s="2"/>
      <c r="AG41" s="2"/>
    </row>
    <row r="42" spans="1:33" ht="16" x14ac:dyDescent="0.2">
      <c r="C42" s="2">
        <f>SUM(C13:C18)</f>
        <v>3</v>
      </c>
      <c r="D42" s="2" t="s">
        <v>46</v>
      </c>
      <c r="E42" s="2">
        <v>5</v>
      </c>
      <c r="K42" s="2"/>
      <c r="M42" s="18"/>
      <c r="N42" s="20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C42" s="2"/>
      <c r="AD42" s="2"/>
      <c r="AE42" s="2"/>
      <c r="AF42" s="2"/>
      <c r="AG42" s="2"/>
    </row>
    <row r="44" spans="1:33" ht="19" x14ac:dyDescent="0.25">
      <c r="C44" s="55" t="s">
        <v>77</v>
      </c>
      <c r="D44" s="55"/>
      <c r="E44" s="55"/>
      <c r="F44" s="13" t="s">
        <v>57</v>
      </c>
      <c r="AD44" s="32" t="s">
        <v>78</v>
      </c>
      <c r="AE44" s="24"/>
      <c r="AF44" s="24"/>
    </row>
    <row r="45" spans="1:33" ht="19" x14ac:dyDescent="0.25">
      <c r="B45" s="27" t="s">
        <v>56</v>
      </c>
      <c r="C45" s="13" t="s">
        <v>79</v>
      </c>
      <c r="D45" s="13" t="s">
        <v>80</v>
      </c>
      <c r="E45" s="13" t="s">
        <v>81</v>
      </c>
      <c r="F45" s="23" t="s">
        <v>58</v>
      </c>
      <c r="G45" s="23" t="s">
        <v>59</v>
      </c>
      <c r="H45" s="23" t="s">
        <v>60</v>
      </c>
      <c r="I45" s="23" t="s">
        <v>61</v>
      </c>
      <c r="J45" s="23" t="s">
        <v>62</v>
      </c>
      <c r="K45" s="23" t="s">
        <v>63</v>
      </c>
      <c r="L45" s="23" t="s">
        <v>64</v>
      </c>
      <c r="M45" s="23" t="s">
        <v>65</v>
      </c>
      <c r="N45" s="23" t="s">
        <v>66</v>
      </c>
      <c r="O45" s="23" t="s">
        <v>67</v>
      </c>
      <c r="P45" s="23" t="s">
        <v>68</v>
      </c>
      <c r="Q45" s="23" t="s">
        <v>69</v>
      </c>
      <c r="R45" s="23" t="s">
        <v>70</v>
      </c>
      <c r="S45" s="23" t="s">
        <v>71</v>
      </c>
      <c r="T45" s="23" t="s">
        <v>72</v>
      </c>
      <c r="U45" s="23" t="s">
        <v>73</v>
      </c>
      <c r="AE45" s="24" t="s">
        <v>82</v>
      </c>
      <c r="AF45" s="24" t="s">
        <v>83</v>
      </c>
      <c r="AG45" s="24" t="s">
        <v>84</v>
      </c>
    </row>
    <row r="46" spans="1:33" x14ac:dyDescent="0.2">
      <c r="B46" s="37" t="s">
        <v>14</v>
      </c>
      <c r="C46" s="2"/>
      <c r="D46" s="2"/>
      <c r="E46" s="2">
        <v>0</v>
      </c>
      <c r="F46" s="28">
        <v>0</v>
      </c>
      <c r="G46" s="25">
        <v>0</v>
      </c>
      <c r="H46" s="25">
        <v>1</v>
      </c>
      <c r="I46" s="25">
        <v>0</v>
      </c>
      <c r="J46" s="25">
        <v>0</v>
      </c>
      <c r="K46" s="25">
        <v>0</v>
      </c>
      <c r="L46" s="25">
        <v>0</v>
      </c>
      <c r="M46" s="25">
        <v>1</v>
      </c>
      <c r="N46" s="25">
        <v>0</v>
      </c>
      <c r="O46" s="25">
        <v>0</v>
      </c>
      <c r="P46" s="25">
        <v>0</v>
      </c>
      <c r="Q46" s="25">
        <v>0</v>
      </c>
      <c r="R46" s="25">
        <v>1</v>
      </c>
      <c r="S46" s="25">
        <v>0</v>
      </c>
      <c r="T46" s="25">
        <v>0</v>
      </c>
      <c r="U46" s="25">
        <v>0</v>
      </c>
      <c r="V46" s="2">
        <f>SUM(G46:U46)</f>
        <v>3</v>
      </c>
      <c r="AC46" s="49" t="s">
        <v>13</v>
      </c>
      <c r="AD46" s="30" t="s">
        <v>14</v>
      </c>
      <c r="AE46" s="2">
        <v>1</v>
      </c>
      <c r="AF46" s="2">
        <v>0</v>
      </c>
      <c r="AG46" s="2">
        <v>0</v>
      </c>
    </row>
    <row r="47" spans="1:33" x14ac:dyDescent="0.2">
      <c r="B47" s="38" t="s">
        <v>15</v>
      </c>
      <c r="C47" s="2"/>
      <c r="D47" s="2"/>
      <c r="E47" s="41">
        <v>1</v>
      </c>
      <c r="F47" s="29">
        <v>1</v>
      </c>
      <c r="G47" s="25">
        <v>1</v>
      </c>
      <c r="H47" s="25">
        <v>1</v>
      </c>
      <c r="I47" s="25">
        <v>1</v>
      </c>
      <c r="J47" s="25">
        <v>1</v>
      </c>
      <c r="K47" s="25">
        <v>1</v>
      </c>
      <c r="L47" s="25">
        <v>1</v>
      </c>
      <c r="M47" s="25">
        <v>1</v>
      </c>
      <c r="N47" s="25">
        <v>1</v>
      </c>
      <c r="O47" s="25">
        <v>1</v>
      </c>
      <c r="P47" s="25">
        <v>1</v>
      </c>
      <c r="Q47" s="25">
        <v>1</v>
      </c>
      <c r="R47" s="25">
        <v>1</v>
      </c>
      <c r="S47" s="25">
        <v>1</v>
      </c>
      <c r="T47" s="25">
        <v>1</v>
      </c>
      <c r="U47" s="25">
        <v>1</v>
      </c>
      <c r="V47" s="2">
        <f t="shared" ref="V47:V83" si="4">SUM(G47:U47)</f>
        <v>15</v>
      </c>
      <c r="AC47" s="49"/>
      <c r="AD47" s="30" t="s">
        <v>15</v>
      </c>
      <c r="AE47" s="2">
        <v>1</v>
      </c>
      <c r="AF47" s="2">
        <v>0</v>
      </c>
      <c r="AG47" s="2">
        <v>0</v>
      </c>
    </row>
    <row r="48" spans="1:33" x14ac:dyDescent="0.2">
      <c r="B48" s="38" t="s">
        <v>16</v>
      </c>
      <c r="C48" s="2"/>
      <c r="D48" s="2"/>
      <c r="E48" s="41">
        <v>1</v>
      </c>
      <c r="F48" s="29">
        <v>1</v>
      </c>
      <c r="G48" s="25">
        <v>1</v>
      </c>
      <c r="H48" s="25">
        <v>1</v>
      </c>
      <c r="I48" s="25">
        <v>1</v>
      </c>
      <c r="J48" s="25">
        <v>1</v>
      </c>
      <c r="K48" s="25">
        <v>1</v>
      </c>
      <c r="L48" s="25">
        <v>1</v>
      </c>
      <c r="M48" s="25">
        <v>1</v>
      </c>
      <c r="N48" s="25">
        <v>1</v>
      </c>
      <c r="O48" s="25">
        <v>1</v>
      </c>
      <c r="P48" s="25">
        <v>1</v>
      </c>
      <c r="Q48" s="25">
        <v>1</v>
      </c>
      <c r="R48" s="25">
        <v>1</v>
      </c>
      <c r="S48" s="25">
        <v>1</v>
      </c>
      <c r="T48" s="25">
        <v>1</v>
      </c>
      <c r="U48" s="25">
        <v>1</v>
      </c>
      <c r="V48" s="2">
        <f t="shared" si="4"/>
        <v>15</v>
      </c>
      <c r="AC48" s="49"/>
      <c r="AD48" s="30" t="s">
        <v>16</v>
      </c>
      <c r="AE48" s="2">
        <v>1</v>
      </c>
      <c r="AF48" s="2">
        <v>1</v>
      </c>
      <c r="AG48" s="2">
        <v>1</v>
      </c>
    </row>
    <row r="49" spans="2:33" x14ac:dyDescent="0.2">
      <c r="B49" s="38" t="s">
        <v>17</v>
      </c>
      <c r="C49" s="2"/>
      <c r="D49" s="2"/>
      <c r="E49" s="41">
        <v>1</v>
      </c>
      <c r="F49" s="29">
        <v>1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25">
        <v>1</v>
      </c>
      <c r="M49" s="25">
        <v>1</v>
      </c>
      <c r="N49" s="25">
        <v>1</v>
      </c>
      <c r="O49" s="25">
        <v>1</v>
      </c>
      <c r="P49" s="25">
        <v>1</v>
      </c>
      <c r="Q49" s="25">
        <v>1</v>
      </c>
      <c r="R49" s="25">
        <v>1</v>
      </c>
      <c r="S49" s="25">
        <v>1</v>
      </c>
      <c r="T49" s="25">
        <v>1</v>
      </c>
      <c r="U49" s="25">
        <v>1</v>
      </c>
      <c r="V49" s="2">
        <f t="shared" si="4"/>
        <v>15</v>
      </c>
      <c r="AC49" s="53"/>
      <c r="AD49" s="35" t="s">
        <v>17</v>
      </c>
      <c r="AE49" s="2">
        <v>0</v>
      </c>
      <c r="AF49" s="2">
        <v>1</v>
      </c>
      <c r="AG49" s="2">
        <v>1</v>
      </c>
    </row>
    <row r="50" spans="2:33" x14ac:dyDescent="0.2">
      <c r="B50" s="37" t="s">
        <v>18</v>
      </c>
      <c r="C50" s="2"/>
      <c r="D50" s="2"/>
      <c r="E50" s="2">
        <v>0</v>
      </c>
      <c r="F50" s="28">
        <v>0</v>
      </c>
      <c r="G50" s="25">
        <v>1</v>
      </c>
      <c r="H50" s="25">
        <v>0</v>
      </c>
      <c r="I50" s="25">
        <v>0</v>
      </c>
      <c r="J50" s="25">
        <v>0</v>
      </c>
      <c r="K50" s="25">
        <v>1</v>
      </c>
      <c r="L50" s="25">
        <v>1</v>
      </c>
      <c r="M50" s="25">
        <v>0</v>
      </c>
      <c r="N50" s="25">
        <v>0</v>
      </c>
      <c r="O50" s="25">
        <v>0</v>
      </c>
      <c r="P50" s="25">
        <v>1</v>
      </c>
      <c r="Q50" s="25">
        <v>1</v>
      </c>
      <c r="R50" s="25">
        <v>0</v>
      </c>
      <c r="S50" s="25">
        <v>0</v>
      </c>
      <c r="T50" s="25">
        <v>0</v>
      </c>
      <c r="U50" s="25">
        <v>1</v>
      </c>
      <c r="V50" s="2">
        <f t="shared" si="4"/>
        <v>6</v>
      </c>
      <c r="AC50" s="53"/>
      <c r="AD50" s="35" t="s">
        <v>18</v>
      </c>
      <c r="AE50" s="2">
        <v>0</v>
      </c>
      <c r="AF50" s="2">
        <v>0</v>
      </c>
      <c r="AG50" s="2">
        <v>0</v>
      </c>
    </row>
    <row r="51" spans="2:33" x14ac:dyDescent="0.2">
      <c r="B51" s="38" t="s">
        <v>19</v>
      </c>
      <c r="C51" s="2"/>
      <c r="D51" s="2"/>
      <c r="E51" s="41">
        <v>1</v>
      </c>
      <c r="F51" s="29">
        <v>1</v>
      </c>
      <c r="G51" s="25">
        <v>1</v>
      </c>
      <c r="H51" s="25">
        <v>1</v>
      </c>
      <c r="I51" s="25">
        <v>1</v>
      </c>
      <c r="J51" s="25">
        <v>1</v>
      </c>
      <c r="K51" s="25">
        <v>1</v>
      </c>
      <c r="L51" s="25">
        <v>1</v>
      </c>
      <c r="M51" s="25">
        <v>1</v>
      </c>
      <c r="N51" s="25">
        <v>1</v>
      </c>
      <c r="O51" s="25">
        <v>1</v>
      </c>
      <c r="P51" s="25">
        <v>1</v>
      </c>
      <c r="Q51" s="25">
        <v>1</v>
      </c>
      <c r="R51" s="25">
        <v>1</v>
      </c>
      <c r="S51" s="25">
        <v>1</v>
      </c>
      <c r="T51" s="25">
        <v>1</v>
      </c>
      <c r="U51" s="25">
        <v>1</v>
      </c>
      <c r="V51" s="2">
        <f t="shared" si="4"/>
        <v>15</v>
      </c>
      <c r="AC51" s="49"/>
      <c r="AD51" s="30" t="s">
        <v>19</v>
      </c>
      <c r="AE51" s="2">
        <v>0</v>
      </c>
      <c r="AF51" s="2">
        <v>1</v>
      </c>
      <c r="AG51" s="2">
        <v>1</v>
      </c>
    </row>
    <row r="52" spans="2:33" x14ac:dyDescent="0.2">
      <c r="B52" s="37" t="s">
        <v>20</v>
      </c>
      <c r="C52" s="2"/>
      <c r="D52" s="2"/>
      <c r="E52" s="41">
        <v>1</v>
      </c>
      <c r="F52" s="29">
        <v>1</v>
      </c>
      <c r="G52" s="25">
        <v>0</v>
      </c>
      <c r="H52" s="25">
        <v>0</v>
      </c>
      <c r="I52" s="25">
        <v>1</v>
      </c>
      <c r="J52" s="25">
        <v>1</v>
      </c>
      <c r="K52" s="25">
        <v>0</v>
      </c>
      <c r="L52" s="25">
        <v>0</v>
      </c>
      <c r="M52" s="25">
        <v>0</v>
      </c>
      <c r="N52" s="25">
        <v>1</v>
      </c>
      <c r="O52" s="25">
        <v>1</v>
      </c>
      <c r="P52" s="25">
        <v>0</v>
      </c>
      <c r="Q52" s="25">
        <v>0</v>
      </c>
      <c r="R52" s="25">
        <v>0</v>
      </c>
      <c r="S52" s="25">
        <v>1</v>
      </c>
      <c r="T52" s="25">
        <v>1</v>
      </c>
      <c r="U52" s="25">
        <v>0</v>
      </c>
      <c r="V52" s="2">
        <f t="shared" si="4"/>
        <v>6</v>
      </c>
      <c r="AC52" s="49"/>
      <c r="AD52" s="30" t="s">
        <v>20</v>
      </c>
      <c r="AE52" s="2">
        <v>0</v>
      </c>
      <c r="AF52" s="2">
        <v>0</v>
      </c>
      <c r="AG52" s="2">
        <v>0</v>
      </c>
    </row>
    <row r="53" spans="2:33" x14ac:dyDescent="0.2">
      <c r="B53" s="36" t="s">
        <v>21</v>
      </c>
      <c r="C53" s="2"/>
      <c r="D53" s="2"/>
      <c r="E53" s="2">
        <v>0</v>
      </c>
      <c r="F53" s="28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">
        <f t="shared" si="4"/>
        <v>0</v>
      </c>
      <c r="AC53" s="49"/>
      <c r="AD53" s="30" t="s">
        <v>21</v>
      </c>
      <c r="AE53" s="2">
        <v>0</v>
      </c>
      <c r="AF53" s="2">
        <v>0</v>
      </c>
      <c r="AG53" s="2">
        <v>0</v>
      </c>
    </row>
    <row r="54" spans="2:33" x14ac:dyDescent="0.2">
      <c r="B54" s="38" t="s">
        <v>23</v>
      </c>
      <c r="C54" s="2"/>
      <c r="D54" s="2"/>
      <c r="E54" s="2">
        <v>1</v>
      </c>
      <c r="F54" s="29">
        <v>1</v>
      </c>
      <c r="G54" s="25">
        <v>1</v>
      </c>
      <c r="H54" s="25">
        <v>1</v>
      </c>
      <c r="I54" s="25">
        <v>1</v>
      </c>
      <c r="J54" s="25">
        <v>1</v>
      </c>
      <c r="K54" s="25">
        <v>1</v>
      </c>
      <c r="L54" s="25">
        <v>1</v>
      </c>
      <c r="M54" s="25">
        <v>1</v>
      </c>
      <c r="N54" s="25">
        <v>1</v>
      </c>
      <c r="O54" s="25">
        <v>1</v>
      </c>
      <c r="P54" s="25">
        <v>1</v>
      </c>
      <c r="Q54" s="25">
        <v>1</v>
      </c>
      <c r="R54" s="25">
        <v>1</v>
      </c>
      <c r="S54" s="25">
        <v>1</v>
      </c>
      <c r="T54" s="25">
        <v>1</v>
      </c>
      <c r="U54" s="25">
        <v>1</v>
      </c>
      <c r="V54" s="2">
        <f t="shared" si="4"/>
        <v>15</v>
      </c>
      <c r="AC54" s="50" t="s">
        <v>22</v>
      </c>
      <c r="AD54" s="26" t="s">
        <v>23</v>
      </c>
      <c r="AE54" s="2">
        <v>1</v>
      </c>
      <c r="AF54" s="2">
        <v>1</v>
      </c>
      <c r="AG54" s="2">
        <v>1</v>
      </c>
    </row>
    <row r="55" spans="2:33" x14ac:dyDescent="0.2">
      <c r="B55" s="38" t="s">
        <v>24</v>
      </c>
      <c r="C55" s="2"/>
      <c r="D55" s="2"/>
      <c r="E55" s="2">
        <v>0</v>
      </c>
      <c r="F55" s="29">
        <v>1</v>
      </c>
      <c r="G55" s="25">
        <v>1</v>
      </c>
      <c r="H55" s="25">
        <v>1</v>
      </c>
      <c r="I55" s="25">
        <v>1</v>
      </c>
      <c r="J55" s="25">
        <v>1</v>
      </c>
      <c r="K55" s="25">
        <v>1</v>
      </c>
      <c r="L55" s="25">
        <v>1</v>
      </c>
      <c r="M55" s="25">
        <v>1</v>
      </c>
      <c r="N55" s="25">
        <v>1</v>
      </c>
      <c r="O55" s="25">
        <v>1</v>
      </c>
      <c r="P55" s="25">
        <v>1</v>
      </c>
      <c r="Q55" s="25">
        <v>1</v>
      </c>
      <c r="R55" s="25">
        <v>1</v>
      </c>
      <c r="S55" s="25">
        <v>1</v>
      </c>
      <c r="T55" s="25">
        <v>1</v>
      </c>
      <c r="U55" s="25">
        <v>1</v>
      </c>
      <c r="V55" s="2">
        <f t="shared" si="4"/>
        <v>15</v>
      </c>
      <c r="AC55" s="50"/>
      <c r="AD55" s="26" t="s">
        <v>24</v>
      </c>
      <c r="AE55" s="2">
        <v>1</v>
      </c>
      <c r="AF55" s="2">
        <v>0</v>
      </c>
      <c r="AG55" s="2">
        <v>0</v>
      </c>
    </row>
    <row r="56" spans="2:33" x14ac:dyDescent="0.2">
      <c r="B56" s="38" t="s">
        <v>25</v>
      </c>
      <c r="C56" s="2"/>
      <c r="D56" s="2"/>
      <c r="E56" s="41">
        <v>1</v>
      </c>
      <c r="F56" s="29">
        <v>1</v>
      </c>
      <c r="G56" s="25">
        <v>1</v>
      </c>
      <c r="H56" s="25">
        <v>1</v>
      </c>
      <c r="I56" s="25">
        <v>1</v>
      </c>
      <c r="J56" s="25">
        <v>1</v>
      </c>
      <c r="K56" s="25">
        <v>1</v>
      </c>
      <c r="L56" s="25">
        <v>1</v>
      </c>
      <c r="M56" s="25">
        <v>1</v>
      </c>
      <c r="N56" s="25">
        <v>1</v>
      </c>
      <c r="O56" s="25">
        <v>1</v>
      </c>
      <c r="P56" s="25">
        <v>1</v>
      </c>
      <c r="Q56" s="25">
        <v>1</v>
      </c>
      <c r="R56" s="25">
        <v>1</v>
      </c>
      <c r="S56" s="25">
        <v>1</v>
      </c>
      <c r="T56" s="25">
        <v>1</v>
      </c>
      <c r="U56" s="25">
        <v>1</v>
      </c>
      <c r="V56" s="2">
        <f t="shared" si="4"/>
        <v>15</v>
      </c>
      <c r="AC56" s="54"/>
      <c r="AD56" s="3" t="s">
        <v>25</v>
      </c>
      <c r="AE56" s="2">
        <v>1</v>
      </c>
      <c r="AF56" s="2">
        <v>1</v>
      </c>
      <c r="AG56" s="2">
        <v>1</v>
      </c>
    </row>
    <row r="57" spans="2:33" x14ac:dyDescent="0.2">
      <c r="B57" s="36" t="s">
        <v>26</v>
      </c>
      <c r="C57" s="2"/>
      <c r="D57" s="2"/>
      <c r="E57" s="41">
        <v>1</v>
      </c>
      <c r="F57" s="28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">
        <f t="shared" si="4"/>
        <v>0</v>
      </c>
      <c r="AC57" s="54"/>
      <c r="AD57" s="3" t="s">
        <v>26</v>
      </c>
      <c r="AE57" s="2">
        <v>0</v>
      </c>
      <c r="AF57" s="2">
        <v>1</v>
      </c>
      <c r="AG57" s="2">
        <v>1</v>
      </c>
    </row>
    <row r="58" spans="2:33" x14ac:dyDescent="0.2">
      <c r="B58" s="36" t="s">
        <v>27</v>
      </c>
      <c r="C58" s="2"/>
      <c r="D58" s="2"/>
      <c r="E58" s="2">
        <v>0</v>
      </c>
      <c r="F58" s="28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">
        <f t="shared" si="4"/>
        <v>0</v>
      </c>
      <c r="AC58" s="50"/>
      <c r="AD58" s="26" t="s">
        <v>27</v>
      </c>
      <c r="AE58" s="2">
        <v>0</v>
      </c>
      <c r="AF58" s="2">
        <v>0</v>
      </c>
      <c r="AG58" s="2">
        <v>0</v>
      </c>
    </row>
    <row r="59" spans="2:33" x14ac:dyDescent="0.2">
      <c r="B59" s="36" t="s">
        <v>28</v>
      </c>
      <c r="C59" s="2"/>
      <c r="D59" s="2"/>
      <c r="E59" s="2">
        <v>0</v>
      </c>
      <c r="F59" s="28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">
        <f t="shared" si="4"/>
        <v>0</v>
      </c>
      <c r="AC59" s="50"/>
      <c r="AD59" s="26" t="s">
        <v>28</v>
      </c>
      <c r="AE59" s="2">
        <v>0</v>
      </c>
      <c r="AF59" s="2">
        <v>0</v>
      </c>
      <c r="AG59" s="2">
        <v>0</v>
      </c>
    </row>
    <row r="60" spans="2:33" ht="19" x14ac:dyDescent="0.25">
      <c r="B60" s="27" t="s">
        <v>56</v>
      </c>
      <c r="E60" t="s">
        <v>74</v>
      </c>
      <c r="F60" s="40" t="s">
        <v>58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2">
        <f t="shared" si="4"/>
        <v>0</v>
      </c>
    </row>
    <row r="61" spans="2:33" x14ac:dyDescent="0.2">
      <c r="B61" s="36" t="s">
        <v>14</v>
      </c>
      <c r="F61" s="28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">
        <f t="shared" si="4"/>
        <v>0</v>
      </c>
    </row>
    <row r="62" spans="2:33" x14ac:dyDescent="0.2">
      <c r="B62" s="39" t="s">
        <v>15</v>
      </c>
      <c r="F62" s="29">
        <v>1</v>
      </c>
      <c r="G62" s="25">
        <v>1</v>
      </c>
      <c r="H62" s="25">
        <v>1</v>
      </c>
      <c r="I62" s="25">
        <v>0</v>
      </c>
      <c r="J62" s="25">
        <v>1</v>
      </c>
      <c r="K62" s="25">
        <v>1</v>
      </c>
      <c r="L62" s="25">
        <v>1</v>
      </c>
      <c r="M62" s="25">
        <v>1</v>
      </c>
      <c r="N62" s="25">
        <v>0</v>
      </c>
      <c r="O62" s="25">
        <v>1</v>
      </c>
      <c r="P62" s="25">
        <v>1</v>
      </c>
      <c r="Q62" s="25">
        <v>1</v>
      </c>
      <c r="R62" s="25">
        <v>1</v>
      </c>
      <c r="S62" s="25">
        <v>0</v>
      </c>
      <c r="T62" s="25">
        <v>1</v>
      </c>
      <c r="U62" s="25">
        <v>1</v>
      </c>
      <c r="V62" s="2">
        <f t="shared" si="4"/>
        <v>12</v>
      </c>
    </row>
    <row r="63" spans="2:33" x14ac:dyDescent="0.2">
      <c r="B63" s="38" t="s">
        <v>16</v>
      </c>
      <c r="F63" s="29">
        <v>1</v>
      </c>
      <c r="G63" s="25">
        <v>1</v>
      </c>
      <c r="H63" s="25">
        <v>1</v>
      </c>
      <c r="I63" s="25">
        <v>1</v>
      </c>
      <c r="J63" s="25">
        <v>1</v>
      </c>
      <c r="K63" s="25">
        <v>1</v>
      </c>
      <c r="L63" s="25">
        <v>1</v>
      </c>
      <c r="M63" s="25">
        <v>1</v>
      </c>
      <c r="N63" s="25">
        <v>1</v>
      </c>
      <c r="O63" s="25">
        <v>1</v>
      </c>
      <c r="P63" s="25">
        <v>1</v>
      </c>
      <c r="Q63" s="25">
        <v>1</v>
      </c>
      <c r="R63" s="25">
        <v>1</v>
      </c>
      <c r="S63" s="25">
        <v>1</v>
      </c>
      <c r="T63" s="25">
        <v>1</v>
      </c>
      <c r="U63" s="25">
        <v>1</v>
      </c>
      <c r="V63" s="2">
        <f t="shared" si="4"/>
        <v>15</v>
      </c>
    </row>
    <row r="64" spans="2:33" x14ac:dyDescent="0.2">
      <c r="B64" s="38" t="s">
        <v>17</v>
      </c>
      <c r="F64" s="29">
        <v>1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25">
        <v>1</v>
      </c>
      <c r="M64" s="25">
        <v>1</v>
      </c>
      <c r="N64" s="25">
        <v>1</v>
      </c>
      <c r="O64" s="25">
        <v>1</v>
      </c>
      <c r="P64" s="25">
        <v>1</v>
      </c>
      <c r="Q64" s="25">
        <v>1</v>
      </c>
      <c r="R64" s="25">
        <v>1</v>
      </c>
      <c r="S64" s="25">
        <v>1</v>
      </c>
      <c r="T64" s="25">
        <v>1</v>
      </c>
      <c r="U64" s="25">
        <v>1</v>
      </c>
      <c r="V64" s="2">
        <f t="shared" si="4"/>
        <v>15</v>
      </c>
    </row>
    <row r="65" spans="2:22" x14ac:dyDescent="0.2">
      <c r="B65" s="36" t="s">
        <v>18</v>
      </c>
      <c r="F65" s="28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">
        <f t="shared" si="4"/>
        <v>0</v>
      </c>
    </row>
    <row r="66" spans="2:22" x14ac:dyDescent="0.2">
      <c r="B66" s="38" t="s">
        <v>19</v>
      </c>
      <c r="F66" s="29">
        <v>1</v>
      </c>
      <c r="G66" s="25">
        <v>1</v>
      </c>
      <c r="H66" s="25">
        <v>1</v>
      </c>
      <c r="I66" s="25">
        <v>1</v>
      </c>
      <c r="J66" s="25">
        <v>1</v>
      </c>
      <c r="K66" s="25">
        <v>1</v>
      </c>
      <c r="L66" s="25">
        <v>1</v>
      </c>
      <c r="M66" s="25">
        <v>1</v>
      </c>
      <c r="N66" s="25">
        <v>1</v>
      </c>
      <c r="O66" s="25">
        <v>1</v>
      </c>
      <c r="P66" s="25">
        <v>1</v>
      </c>
      <c r="Q66" s="25">
        <v>1</v>
      </c>
      <c r="R66" s="25">
        <v>1</v>
      </c>
      <c r="S66" s="25">
        <v>1</v>
      </c>
      <c r="T66" s="25">
        <v>1</v>
      </c>
      <c r="U66" s="25">
        <v>1</v>
      </c>
      <c r="V66" s="2">
        <f t="shared" si="4"/>
        <v>15</v>
      </c>
    </row>
    <row r="67" spans="2:22" x14ac:dyDescent="0.2">
      <c r="B67" s="37" t="s">
        <v>20</v>
      </c>
      <c r="F67" s="28">
        <v>0</v>
      </c>
      <c r="G67" s="25">
        <v>0</v>
      </c>
      <c r="H67" s="25">
        <v>0</v>
      </c>
      <c r="I67" s="25">
        <v>1</v>
      </c>
      <c r="J67" s="25">
        <v>0</v>
      </c>
      <c r="K67" s="25">
        <v>0</v>
      </c>
      <c r="L67" s="25">
        <v>0</v>
      </c>
      <c r="M67" s="25">
        <v>0</v>
      </c>
      <c r="N67" s="25">
        <v>1</v>
      </c>
      <c r="O67" s="25">
        <v>0</v>
      </c>
      <c r="P67" s="25">
        <v>0</v>
      </c>
      <c r="Q67" s="25">
        <v>0</v>
      </c>
      <c r="R67" s="25">
        <v>0</v>
      </c>
      <c r="S67" s="25">
        <v>1</v>
      </c>
      <c r="T67" s="25">
        <v>0</v>
      </c>
      <c r="U67" s="25">
        <v>0</v>
      </c>
      <c r="V67" s="2">
        <f t="shared" si="4"/>
        <v>3</v>
      </c>
    </row>
    <row r="68" spans="2:22" x14ac:dyDescent="0.2">
      <c r="B68" s="36" t="s">
        <v>21</v>
      </c>
      <c r="F68" s="28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">
        <f t="shared" si="4"/>
        <v>0</v>
      </c>
    </row>
    <row r="69" spans="2:22" x14ac:dyDescent="0.2">
      <c r="B69" s="38" t="s">
        <v>23</v>
      </c>
      <c r="F69" s="29">
        <v>1</v>
      </c>
      <c r="G69" s="25">
        <v>1</v>
      </c>
      <c r="H69" s="25">
        <v>1</v>
      </c>
      <c r="I69" s="25">
        <v>1</v>
      </c>
      <c r="J69" s="25">
        <v>1</v>
      </c>
      <c r="K69" s="25">
        <v>1</v>
      </c>
      <c r="L69" s="25">
        <v>1</v>
      </c>
      <c r="M69" s="25">
        <v>1</v>
      </c>
      <c r="N69" s="25">
        <v>1</v>
      </c>
      <c r="O69" s="25">
        <v>1</v>
      </c>
      <c r="P69" s="25">
        <v>1</v>
      </c>
      <c r="Q69" s="25">
        <v>1</v>
      </c>
      <c r="R69" s="25">
        <v>1</v>
      </c>
      <c r="S69" s="25">
        <v>1</v>
      </c>
      <c r="T69" s="25">
        <v>1</v>
      </c>
      <c r="U69" s="25">
        <v>1</v>
      </c>
      <c r="V69" s="2">
        <f t="shared" si="4"/>
        <v>15</v>
      </c>
    </row>
    <row r="70" spans="2:22" x14ac:dyDescent="0.2">
      <c r="B70" s="36" t="s">
        <v>24</v>
      </c>
      <c r="F70" s="28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">
        <f t="shared" si="4"/>
        <v>0</v>
      </c>
    </row>
    <row r="71" spans="2:22" x14ac:dyDescent="0.2">
      <c r="B71" s="38" t="s">
        <v>25</v>
      </c>
      <c r="F71" s="29">
        <v>1</v>
      </c>
      <c r="G71" s="25">
        <v>1</v>
      </c>
      <c r="H71" s="25">
        <v>1</v>
      </c>
      <c r="I71" s="25">
        <v>1</v>
      </c>
      <c r="J71" s="25">
        <v>1</v>
      </c>
      <c r="K71" s="25">
        <v>1</v>
      </c>
      <c r="L71" s="25">
        <v>1</v>
      </c>
      <c r="M71" s="25">
        <v>1</v>
      </c>
      <c r="N71" s="25">
        <v>1</v>
      </c>
      <c r="O71" s="25">
        <v>1</v>
      </c>
      <c r="P71" s="25">
        <v>1</v>
      </c>
      <c r="Q71" s="25">
        <v>1</v>
      </c>
      <c r="R71" s="25">
        <v>1</v>
      </c>
      <c r="S71" s="25">
        <v>1</v>
      </c>
      <c r="T71" s="25">
        <v>1</v>
      </c>
      <c r="U71" s="25">
        <v>1</v>
      </c>
      <c r="V71" s="2">
        <f t="shared" si="4"/>
        <v>15</v>
      </c>
    </row>
    <row r="72" spans="2:22" x14ac:dyDescent="0.2">
      <c r="B72" s="36" t="s">
        <v>26</v>
      </c>
      <c r="F72" s="28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">
        <f t="shared" si="4"/>
        <v>0</v>
      </c>
    </row>
    <row r="73" spans="2:22" x14ac:dyDescent="0.2">
      <c r="B73" s="36" t="s">
        <v>27</v>
      </c>
      <c r="F73" s="28">
        <v>0</v>
      </c>
      <c r="G73" s="25">
        <v>0</v>
      </c>
      <c r="H73" s="25">
        <v>0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">
        <f t="shared" si="4"/>
        <v>0</v>
      </c>
    </row>
    <row r="74" spans="2:22" x14ac:dyDescent="0.2">
      <c r="B74" s="36" t="s">
        <v>28</v>
      </c>
      <c r="F74" s="28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">
        <f t="shared" si="4"/>
        <v>0</v>
      </c>
    </row>
    <row r="75" spans="2:22" ht="19" x14ac:dyDescent="0.25">
      <c r="B75" s="27" t="s">
        <v>56</v>
      </c>
      <c r="E75" t="s">
        <v>75</v>
      </c>
      <c r="F75" s="40" t="s">
        <v>58</v>
      </c>
      <c r="G75" s="23" t="s">
        <v>59</v>
      </c>
      <c r="H75" s="23" t="s">
        <v>60</v>
      </c>
      <c r="I75" s="23" t="s">
        <v>61</v>
      </c>
      <c r="J75" s="23" t="s">
        <v>62</v>
      </c>
      <c r="K75" s="23" t="s">
        <v>63</v>
      </c>
      <c r="L75" s="23" t="s">
        <v>64</v>
      </c>
      <c r="M75" s="23" t="s">
        <v>65</v>
      </c>
      <c r="N75" s="23" t="s">
        <v>66</v>
      </c>
      <c r="O75" s="23" t="s">
        <v>67</v>
      </c>
      <c r="P75" s="23" t="s">
        <v>68</v>
      </c>
      <c r="Q75" s="23" t="s">
        <v>69</v>
      </c>
      <c r="R75" s="23" t="s">
        <v>70</v>
      </c>
      <c r="S75" s="23" t="s">
        <v>71</v>
      </c>
      <c r="T75" s="23" t="s">
        <v>72</v>
      </c>
      <c r="U75" s="23" t="s">
        <v>73</v>
      </c>
      <c r="V75" s="2">
        <f t="shared" si="4"/>
        <v>0</v>
      </c>
    </row>
    <row r="76" spans="2:22" x14ac:dyDescent="0.2">
      <c r="B76" s="36" t="s">
        <v>14</v>
      </c>
      <c r="F76" s="28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">
        <f t="shared" si="4"/>
        <v>0</v>
      </c>
    </row>
    <row r="77" spans="2:22" x14ac:dyDescent="0.2">
      <c r="B77" s="36" t="s">
        <v>15</v>
      </c>
      <c r="F77" s="29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">
        <f t="shared" si="4"/>
        <v>0</v>
      </c>
    </row>
    <row r="78" spans="2:22" x14ac:dyDescent="0.2">
      <c r="B78" s="38" t="s">
        <v>16</v>
      </c>
      <c r="F78" s="29">
        <v>1</v>
      </c>
      <c r="G78" s="25">
        <v>1</v>
      </c>
      <c r="H78" s="25">
        <v>1</v>
      </c>
      <c r="I78" s="25">
        <v>1</v>
      </c>
      <c r="J78" s="25">
        <v>1</v>
      </c>
      <c r="K78" s="25">
        <v>1</v>
      </c>
      <c r="L78" s="25">
        <v>1</v>
      </c>
      <c r="M78" s="25">
        <v>1</v>
      </c>
      <c r="N78" s="25">
        <v>1</v>
      </c>
      <c r="O78" s="25">
        <v>1</v>
      </c>
      <c r="P78" s="25">
        <v>1</v>
      </c>
      <c r="Q78" s="25">
        <v>1</v>
      </c>
      <c r="R78" s="25">
        <v>1</v>
      </c>
      <c r="S78" s="25">
        <v>1</v>
      </c>
      <c r="T78" s="25">
        <v>1</v>
      </c>
      <c r="U78" s="25">
        <v>1</v>
      </c>
      <c r="V78" s="2">
        <f t="shared" si="4"/>
        <v>15</v>
      </c>
    </row>
    <row r="79" spans="2:22" x14ac:dyDescent="0.2">
      <c r="B79" s="38" t="s">
        <v>17</v>
      </c>
      <c r="F79" s="29">
        <v>1</v>
      </c>
      <c r="G79" s="25">
        <v>1</v>
      </c>
      <c r="H79" s="25">
        <v>1</v>
      </c>
      <c r="I79" s="25">
        <v>1</v>
      </c>
      <c r="J79" s="25">
        <v>1</v>
      </c>
      <c r="K79" s="25">
        <v>1</v>
      </c>
      <c r="L79" s="25">
        <v>1</v>
      </c>
      <c r="M79" s="25">
        <v>1</v>
      </c>
      <c r="N79" s="25">
        <v>1</v>
      </c>
      <c r="O79" s="25">
        <v>1</v>
      </c>
      <c r="P79" s="25">
        <v>1</v>
      </c>
      <c r="Q79" s="25">
        <v>1</v>
      </c>
      <c r="R79" s="25">
        <v>1</v>
      </c>
      <c r="S79" s="25">
        <v>1</v>
      </c>
      <c r="T79" s="25">
        <v>1</v>
      </c>
      <c r="U79" s="25">
        <v>1</v>
      </c>
      <c r="V79" s="2">
        <f t="shared" si="4"/>
        <v>15</v>
      </c>
    </row>
    <row r="80" spans="2:22" x14ac:dyDescent="0.2">
      <c r="B80" s="36" t="s">
        <v>18</v>
      </c>
      <c r="F80" s="28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">
        <f t="shared" si="4"/>
        <v>0</v>
      </c>
    </row>
    <row r="81" spans="2:22" x14ac:dyDescent="0.2">
      <c r="B81" s="37" t="s">
        <v>19</v>
      </c>
      <c r="F81" s="29">
        <v>0</v>
      </c>
      <c r="G81" s="25">
        <v>0</v>
      </c>
      <c r="H81" s="25">
        <v>0</v>
      </c>
      <c r="I81" s="25">
        <v>0</v>
      </c>
      <c r="J81" s="25">
        <v>0</v>
      </c>
      <c r="K81" s="25">
        <v>1</v>
      </c>
      <c r="L81" s="25">
        <v>0</v>
      </c>
      <c r="M81" s="25">
        <v>0</v>
      </c>
      <c r="N81" s="25">
        <v>0</v>
      </c>
      <c r="O81" s="25">
        <v>0</v>
      </c>
      <c r="P81" s="25">
        <v>1</v>
      </c>
      <c r="Q81" s="25">
        <v>0</v>
      </c>
      <c r="R81" s="25">
        <v>0</v>
      </c>
      <c r="S81" s="25">
        <v>0</v>
      </c>
      <c r="T81" s="25">
        <v>0</v>
      </c>
      <c r="U81" s="25">
        <v>1</v>
      </c>
      <c r="V81" s="2">
        <f t="shared" si="4"/>
        <v>3</v>
      </c>
    </row>
    <row r="82" spans="2:22" x14ac:dyDescent="0.2">
      <c r="B82" s="36" t="s">
        <v>20</v>
      </c>
      <c r="F82" s="29">
        <v>0</v>
      </c>
      <c r="G82" s="25">
        <v>0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0</v>
      </c>
      <c r="V82" s="2">
        <f t="shared" si="4"/>
        <v>0</v>
      </c>
    </row>
    <row r="83" spans="2:22" x14ac:dyDescent="0.2">
      <c r="B83" s="36" t="s">
        <v>21</v>
      </c>
      <c r="F83" s="28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">
        <f t="shared" si="4"/>
        <v>0</v>
      </c>
    </row>
    <row r="84" spans="2:22" x14ac:dyDescent="0.2">
      <c r="B84" s="39" t="s">
        <v>23</v>
      </c>
      <c r="F84" s="29">
        <v>1</v>
      </c>
      <c r="G84" s="25">
        <v>1</v>
      </c>
      <c r="H84" s="25">
        <v>1</v>
      </c>
      <c r="I84" s="25">
        <v>1</v>
      </c>
      <c r="J84" s="25">
        <v>1</v>
      </c>
      <c r="K84" s="25">
        <v>0</v>
      </c>
      <c r="L84" s="25">
        <v>1</v>
      </c>
      <c r="M84" s="25">
        <v>1</v>
      </c>
      <c r="N84" s="25">
        <v>1</v>
      </c>
      <c r="O84" s="25">
        <v>1</v>
      </c>
      <c r="P84" s="25">
        <v>0</v>
      </c>
      <c r="Q84" s="25">
        <v>1</v>
      </c>
      <c r="R84" s="25">
        <v>1</v>
      </c>
      <c r="S84" s="25">
        <v>1</v>
      </c>
      <c r="T84" s="25">
        <v>1</v>
      </c>
      <c r="U84" s="25">
        <v>0</v>
      </c>
      <c r="V84" s="2">
        <f t="shared" ref="V84:V89" si="5">SUM(G84:U84)</f>
        <v>12</v>
      </c>
    </row>
    <row r="85" spans="2:22" x14ac:dyDescent="0.2">
      <c r="B85" s="37" t="s">
        <v>24</v>
      </c>
      <c r="F85" s="28">
        <v>0</v>
      </c>
      <c r="G85" s="25">
        <v>0</v>
      </c>
      <c r="H85" s="25">
        <v>0</v>
      </c>
      <c r="I85" s="25">
        <v>0</v>
      </c>
      <c r="J85" s="25">
        <v>0</v>
      </c>
      <c r="K85" s="25">
        <v>1</v>
      </c>
      <c r="L85" s="25">
        <v>0</v>
      </c>
      <c r="M85" s="25">
        <v>0</v>
      </c>
      <c r="N85" s="25">
        <v>0</v>
      </c>
      <c r="O85" s="25">
        <v>0</v>
      </c>
      <c r="P85" s="25">
        <v>1</v>
      </c>
      <c r="Q85" s="25">
        <v>0</v>
      </c>
      <c r="R85" s="25">
        <v>0</v>
      </c>
      <c r="S85" s="25">
        <v>0</v>
      </c>
      <c r="T85" s="25">
        <v>0</v>
      </c>
      <c r="U85" s="25">
        <v>1</v>
      </c>
      <c r="V85" s="2">
        <f t="shared" si="5"/>
        <v>3</v>
      </c>
    </row>
    <row r="86" spans="2:22" x14ac:dyDescent="0.2">
      <c r="B86" s="39" t="s">
        <v>25</v>
      </c>
      <c r="F86" s="29">
        <v>1</v>
      </c>
      <c r="G86" s="25">
        <v>1</v>
      </c>
      <c r="H86" s="25">
        <v>1</v>
      </c>
      <c r="I86" s="25">
        <v>1</v>
      </c>
      <c r="J86" s="25">
        <v>1</v>
      </c>
      <c r="K86" s="25">
        <v>0</v>
      </c>
      <c r="L86" s="25">
        <v>1</v>
      </c>
      <c r="M86" s="25">
        <v>1</v>
      </c>
      <c r="N86" s="25">
        <v>1</v>
      </c>
      <c r="O86" s="25">
        <v>1</v>
      </c>
      <c r="P86" s="25">
        <v>0</v>
      </c>
      <c r="Q86" s="25">
        <v>1</v>
      </c>
      <c r="R86" s="25">
        <v>1</v>
      </c>
      <c r="S86" s="25">
        <v>1</v>
      </c>
      <c r="T86" s="25">
        <v>1</v>
      </c>
      <c r="U86" s="25">
        <v>0</v>
      </c>
      <c r="V86" s="2">
        <f t="shared" si="5"/>
        <v>12</v>
      </c>
    </row>
    <row r="87" spans="2:22" x14ac:dyDescent="0.2">
      <c r="B87" s="36" t="s">
        <v>26</v>
      </c>
      <c r="F87" s="29">
        <v>0</v>
      </c>
      <c r="G87" s="25">
        <v>0</v>
      </c>
      <c r="H87" s="25">
        <v>0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">
        <f t="shared" si="5"/>
        <v>0</v>
      </c>
    </row>
    <row r="88" spans="2:22" x14ac:dyDescent="0.2">
      <c r="B88" s="36" t="s">
        <v>27</v>
      </c>
      <c r="F88" s="28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">
        <f t="shared" si="5"/>
        <v>0</v>
      </c>
    </row>
    <row r="89" spans="2:22" x14ac:dyDescent="0.2">
      <c r="B89" s="36" t="s">
        <v>28</v>
      </c>
      <c r="F89" s="28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">
        <f t="shared" si="5"/>
        <v>0</v>
      </c>
    </row>
  </sheetData>
  <mergeCells count="15">
    <mergeCell ref="AC46:AC53"/>
    <mergeCell ref="AC54:AC59"/>
    <mergeCell ref="A35:A37"/>
    <mergeCell ref="B36:B37"/>
    <mergeCell ref="C36:C37"/>
    <mergeCell ref="D36:D37"/>
    <mergeCell ref="E36:E37"/>
    <mergeCell ref="C44:E44"/>
    <mergeCell ref="A5:A12"/>
    <mergeCell ref="A13:A18"/>
    <mergeCell ref="E2:S2"/>
    <mergeCell ref="U2:W2"/>
    <mergeCell ref="E3:I3"/>
    <mergeCell ref="J3:N3"/>
    <mergeCell ref="O3:S3"/>
  </mergeCells>
  <conditionalFormatting sqref="G46">
    <cfRule type="colorScale" priority="4">
      <colorScale>
        <cfvo type="num" val="0"/>
        <cfvo type="num" val="1"/>
        <color rgb="FFFF0000"/>
        <color rgb="FF92D050"/>
      </colorScale>
    </cfRule>
  </conditionalFormatting>
  <conditionalFormatting sqref="G52:H53">
    <cfRule type="colorScale" priority="17">
      <colorScale>
        <cfvo type="num" val="0"/>
        <cfvo type="num" val="1"/>
        <color rgb="FFFF0000"/>
        <color rgb="FF92D050"/>
      </colorScale>
    </cfRule>
  </conditionalFormatting>
  <conditionalFormatting sqref="G62:H62">
    <cfRule type="colorScale" priority="30">
      <colorScale>
        <cfvo type="num" val="0"/>
        <cfvo type="num" val="1"/>
        <color rgb="FFFF0000"/>
        <color rgb="FF92D050"/>
      </colorScale>
    </cfRule>
  </conditionalFormatting>
  <conditionalFormatting sqref="G66:H66 J66:M66 O66:R66 T66:U66">
    <cfRule type="colorScale" priority="33">
      <colorScale>
        <cfvo type="num" val="0"/>
        <cfvo type="num" val="1"/>
        <color rgb="FFFF0000"/>
        <color rgb="FF92D050"/>
      </colorScale>
    </cfRule>
  </conditionalFormatting>
  <conditionalFormatting sqref="G54:U56">
    <cfRule type="colorScale" priority="19">
      <colorScale>
        <cfvo type="num" val="0"/>
        <cfvo type="num" val="1"/>
        <color rgb="FFFF0000"/>
        <color rgb="FF92D050"/>
      </colorScale>
    </cfRule>
    <cfRule type="colorScale" priority="18">
      <colorScale>
        <cfvo type="num" val="0"/>
        <cfvo type="num" val="1"/>
        <color rgb="FFFF0000"/>
        <color rgb="FF92D050"/>
      </colorScale>
    </cfRule>
  </conditionalFormatting>
  <conditionalFormatting sqref="G57:U59">
    <cfRule type="colorScale" priority="16">
      <colorScale>
        <cfvo type="num" val="0"/>
        <cfvo type="num" val="1"/>
        <color rgb="FFFF0000"/>
        <color rgb="FF92D050"/>
      </colorScale>
    </cfRule>
  </conditionalFormatting>
  <conditionalFormatting sqref="G61:U74 F76:F89">
    <cfRule type="colorScale" priority="35">
      <colorScale>
        <cfvo type="num" val="0"/>
        <cfvo type="num" val="1"/>
        <color rgb="FFFF0000"/>
        <color rgb="FF92D050"/>
      </colorScale>
    </cfRule>
  </conditionalFormatting>
  <conditionalFormatting sqref="G68:U68">
    <cfRule type="colorScale" priority="34">
      <colorScale>
        <cfvo type="num" val="0"/>
        <cfvo type="num" val="1"/>
        <color rgb="FFFF0000"/>
        <color rgb="FF92D050"/>
      </colorScale>
    </cfRule>
  </conditionalFormatting>
  <conditionalFormatting sqref="G69:U69">
    <cfRule type="colorScale" priority="32">
      <colorScale>
        <cfvo type="num" val="0"/>
        <cfvo type="num" val="1"/>
        <color rgb="FFFF0000"/>
        <color rgb="FF92D050"/>
      </colorScale>
    </cfRule>
  </conditionalFormatting>
  <conditionalFormatting sqref="G71:U71">
    <cfRule type="colorScale" priority="31">
      <colorScale>
        <cfvo type="num" val="0"/>
        <cfvo type="num" val="1"/>
        <color rgb="FFFF0000"/>
        <color rgb="FF92D050"/>
      </colorScale>
    </cfRule>
  </conditionalFormatting>
  <conditionalFormatting sqref="G76:U89">
    <cfRule type="colorScale" priority="23">
      <colorScale>
        <cfvo type="num" val="0"/>
        <cfvo type="num" val="1"/>
        <color rgb="FFFF0000"/>
        <color rgb="FF92D050"/>
      </colorScale>
    </cfRule>
  </conditionalFormatting>
  <conditionalFormatting sqref="H50:J50">
    <cfRule type="colorScale" priority="14">
      <colorScale>
        <cfvo type="num" val="0"/>
        <cfvo type="num" val="1"/>
        <color rgb="FFFF0000"/>
        <color rgb="FF92D050"/>
      </colorScale>
    </cfRule>
  </conditionalFormatting>
  <conditionalFormatting sqref="I66:I67">
    <cfRule type="colorScale" priority="26">
      <colorScale>
        <cfvo type="num" val="0"/>
        <cfvo type="num" val="1"/>
        <color rgb="FFFF0000"/>
        <color rgb="FF92D050"/>
      </colorScale>
    </cfRule>
  </conditionalFormatting>
  <conditionalFormatting sqref="I51:J52">
    <cfRule type="colorScale" priority="7">
      <colorScale>
        <cfvo type="num" val="0"/>
        <cfvo type="num" val="1"/>
        <color rgb="FFFF0000"/>
        <color rgb="FF92D050"/>
      </colorScale>
    </cfRule>
  </conditionalFormatting>
  <conditionalFormatting sqref="I53:J53 S53:T53 N53:O53">
    <cfRule type="colorScale" priority="15">
      <colorScale>
        <cfvo type="num" val="0"/>
        <cfvo type="num" val="1"/>
        <color rgb="FFFF0000"/>
        <color rgb="FF92D050"/>
      </colorScale>
    </cfRule>
  </conditionalFormatting>
  <conditionalFormatting sqref="I46:L46">
    <cfRule type="colorScale" priority="3">
      <colorScale>
        <cfvo type="num" val="0"/>
        <cfvo type="num" val="1"/>
        <color rgb="FFFF0000"/>
        <color rgb="FF92D050"/>
      </colorScale>
    </cfRule>
  </conditionalFormatting>
  <conditionalFormatting sqref="I48:T48 G47:G51 H49:J49 M49:O49 K49:L50 R49:T49 P49:Q50 U48:U50 I47:L47 H46:H48 N47:Q47 M46:M47 S47:U47 R46:R47">
    <cfRule type="colorScale" priority="22">
      <colorScale>
        <cfvo type="num" val="0"/>
        <cfvo type="num" val="1"/>
        <color rgb="FFFF0000"/>
        <color rgb="FF92D050"/>
      </colorScale>
    </cfRule>
  </conditionalFormatting>
  <conditionalFormatting sqref="J62:M62">
    <cfRule type="colorScale" priority="29">
      <colorScale>
        <cfvo type="num" val="0"/>
        <cfvo type="num" val="1"/>
        <color rgb="FFFF0000"/>
        <color rgb="FF92D050"/>
      </colorScale>
    </cfRule>
  </conditionalFormatting>
  <conditionalFormatting sqref="K51:M51 H51 P51:R51 U51">
    <cfRule type="colorScale" priority="20">
      <colorScale>
        <cfvo type="num" val="0"/>
        <cfvo type="num" val="1"/>
        <color rgb="FFFF0000"/>
        <color rgb="FF92D050"/>
      </colorScale>
    </cfRule>
    <cfRule type="colorScale" priority="21">
      <colorScale>
        <cfvo type="num" val="0"/>
        <cfvo type="num" val="1"/>
        <color rgb="FFFF0000"/>
        <color rgb="FF92D050"/>
      </colorScale>
    </cfRule>
  </conditionalFormatting>
  <conditionalFormatting sqref="K52:M53">
    <cfRule type="colorScale" priority="8">
      <colorScale>
        <cfvo type="num" val="0"/>
        <cfvo type="num" val="1"/>
        <color rgb="FFFF0000"/>
        <color rgb="FF92D050"/>
      </colorScale>
    </cfRule>
  </conditionalFormatting>
  <conditionalFormatting sqref="M50:O50">
    <cfRule type="colorScale" priority="13">
      <colorScale>
        <cfvo type="num" val="0"/>
        <cfvo type="num" val="1"/>
        <color rgb="FFFF0000"/>
        <color rgb="FF92D050"/>
      </colorScale>
    </cfRule>
  </conditionalFormatting>
  <conditionalFormatting sqref="N66:N67">
    <cfRule type="colorScale" priority="25">
      <colorScale>
        <cfvo type="num" val="0"/>
        <cfvo type="num" val="1"/>
        <color rgb="FFFF0000"/>
        <color rgb="FF92D050"/>
      </colorScale>
    </cfRule>
  </conditionalFormatting>
  <conditionalFormatting sqref="N51:O52">
    <cfRule type="colorScale" priority="6">
      <colorScale>
        <cfvo type="num" val="0"/>
        <cfvo type="num" val="1"/>
        <color rgb="FFFF0000"/>
        <color rgb="FF92D050"/>
      </colorScale>
    </cfRule>
  </conditionalFormatting>
  <conditionalFormatting sqref="N46:Q46">
    <cfRule type="colorScale" priority="2">
      <colorScale>
        <cfvo type="num" val="0"/>
        <cfvo type="num" val="1"/>
        <color rgb="FFFF0000"/>
        <color rgb="FF92D050"/>
      </colorScale>
    </cfRule>
  </conditionalFormatting>
  <conditionalFormatting sqref="O62:R62">
    <cfRule type="colorScale" priority="28">
      <colorScale>
        <cfvo type="num" val="0"/>
        <cfvo type="num" val="1"/>
        <color rgb="FFFF0000"/>
        <color rgb="FF92D050"/>
      </colorScale>
    </cfRule>
  </conditionalFormatting>
  <conditionalFormatting sqref="P52:Q53">
    <cfRule type="colorScale" priority="9">
      <colorScale>
        <cfvo type="num" val="0"/>
        <cfvo type="num" val="1"/>
        <color rgb="FFFF0000"/>
        <color rgb="FF92D050"/>
      </colorScale>
    </cfRule>
  </conditionalFormatting>
  <conditionalFormatting sqref="R52:R53">
    <cfRule type="colorScale" priority="10">
      <colorScale>
        <cfvo type="num" val="0"/>
        <cfvo type="num" val="1"/>
        <color rgb="FFFF0000"/>
        <color rgb="FF92D050"/>
      </colorScale>
    </cfRule>
  </conditionalFormatting>
  <conditionalFormatting sqref="R50:T50">
    <cfRule type="colorScale" priority="12">
      <colorScale>
        <cfvo type="num" val="0"/>
        <cfvo type="num" val="1"/>
        <color rgb="FFFF0000"/>
        <color rgb="FF92D050"/>
      </colorScale>
    </cfRule>
  </conditionalFormatting>
  <conditionalFormatting sqref="S66:S67">
    <cfRule type="colorScale" priority="24">
      <colorScale>
        <cfvo type="num" val="0"/>
        <cfvo type="num" val="1"/>
        <color rgb="FFFF0000"/>
        <color rgb="FF92D050"/>
      </colorScale>
    </cfRule>
  </conditionalFormatting>
  <conditionalFormatting sqref="S51:T52">
    <cfRule type="colorScale" priority="5">
      <colorScale>
        <cfvo type="num" val="0"/>
        <cfvo type="num" val="1"/>
        <color rgb="FFFF0000"/>
        <color rgb="FF92D050"/>
      </colorScale>
    </cfRule>
  </conditionalFormatting>
  <conditionalFormatting sqref="S46:U46">
    <cfRule type="colorScale" priority="1">
      <colorScale>
        <cfvo type="num" val="0"/>
        <cfvo type="num" val="1"/>
        <color rgb="FFFF0000"/>
        <color rgb="FF92D050"/>
      </colorScale>
    </cfRule>
  </conditionalFormatting>
  <conditionalFormatting sqref="T62:U62">
    <cfRule type="colorScale" priority="27">
      <colorScale>
        <cfvo type="num" val="0"/>
        <cfvo type="num" val="1"/>
        <color rgb="FFFF0000"/>
        <color rgb="FF92D050"/>
      </colorScale>
    </cfRule>
  </conditionalFormatting>
  <conditionalFormatting sqref="U52:U53">
    <cfRule type="colorScale" priority="11">
      <colorScale>
        <cfvo type="num" val="0"/>
        <cfvo type="num" val="1"/>
        <color rgb="FFFF0000"/>
        <color rgb="FF92D050"/>
      </colorScale>
    </cfRule>
  </conditionalFormatting>
  <conditionalFormatting sqref="U5:W1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9:Z20 Y5:Y1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0:AE3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:AF2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1:AF31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2:AF32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3:AF33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4:AF3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5:AF3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6:AF3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7:AF3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:AF3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0:AF4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1:AF4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2:AD24 X5:X2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6:AG59">
    <cfRule type="colorScale" priority="36">
      <colorScale>
        <cfvo type="num" val="0"/>
        <cfvo type="num" val="1"/>
        <color rgb="FFFF0201"/>
        <color theme="9" tint="0.39997558519241921"/>
      </colorScale>
    </cfRule>
  </conditionalFormatting>
  <conditionalFormatting sqref="AG29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1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2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3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4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8:AG3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1:AG4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50A4F5699EF459ADC191561A9C5D3" ma:contentTypeVersion="3" ma:contentTypeDescription="Create a new document." ma:contentTypeScope="" ma:versionID="6e1203df4e0b7db794dc75472ea0f0d2">
  <xsd:schema xmlns:xsd="http://www.w3.org/2001/XMLSchema" xmlns:xs="http://www.w3.org/2001/XMLSchema" xmlns:p="http://schemas.microsoft.com/office/2006/metadata/properties" xmlns:ns2="b4643030-2d95-4e4e-9b2b-b2456e2e3080" targetNamespace="http://schemas.microsoft.com/office/2006/metadata/properties" ma:root="true" ma:fieldsID="0421e77a496c18e86b17b4592c51d2d6" ns2:_="">
    <xsd:import namespace="b4643030-2d95-4e4e-9b2b-b2456e2e30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43030-2d95-4e4e-9b2b-b2456e2e3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752E8-FBE9-48F2-8DDA-957D7AD6CE50}">
  <ds:schemaRefs>
    <ds:schemaRef ds:uri="http://purl.org/dc/terms/"/>
    <ds:schemaRef ds:uri="http://purl.org/dc/elements/1.1/"/>
    <ds:schemaRef ds:uri="http://purl.org/dc/dcmitype/"/>
    <ds:schemaRef ds:uri="b4643030-2d95-4e4e-9b2b-b2456e2e3080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D8C2FE-3903-4FAC-8E5D-CDF557D92E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E18BE1-8B0B-49BF-A8CB-4665C1D79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643030-2d95-4e4e-9b2b-b2456e2e3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visualization</vt:lpstr>
    </vt:vector>
  </TitlesOfParts>
  <Manager/>
  <Company>Aalto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Vilkkumaa Eeva</dc:creator>
  <cp:keywords/>
  <dc:description/>
  <cp:lastModifiedBy>Viitanen Samuel</cp:lastModifiedBy>
  <cp:revision/>
  <dcterms:created xsi:type="dcterms:W3CDTF">2025-03-13T10:37:20Z</dcterms:created>
  <dcterms:modified xsi:type="dcterms:W3CDTF">2025-04-10T07:05:49Z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0x01010049E50A4F5699EF459ADC191561A9C5D3</vt:lpwstr>
  </property>
</Properties>
</file>